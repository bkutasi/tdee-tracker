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DEE" sheetId="1" r:id="rId4"/>
  </sheets>
  <definedNames/>
  <calcPr/>
</workbook>
</file>

<file path=xl/sharedStrings.xml><?xml version="1.0" encoding="utf-8"?>
<sst xmlns="http://schemas.openxmlformats.org/spreadsheetml/2006/main" count="56" uniqueCount="42">
  <si>
    <t>PROFESSIONAL EDITION (Google Sheets Ready)</t>
  </si>
  <si>
    <t>TDEE!A1</t>
  </si>
  <si>
    <t>Initial Inputs</t>
  </si>
  <si>
    <t>Current Body Stats</t>
  </si>
  <si>
    <t>units</t>
  </si>
  <si>
    <t>Input Start Date to Begin:</t>
  </si>
  <si>
    <t>WEEKS</t>
  </si>
  <si>
    <t>variables</t>
  </si>
  <si>
    <t xml:space="preserve"> - Choose - </t>
  </si>
  <si>
    <t>Kg</t>
  </si>
  <si>
    <t>Lb</t>
  </si>
  <si>
    <t>Cal.</t>
  </si>
  <si>
    <t>Kj</t>
  </si>
  <si>
    <t>delta</t>
  </si>
  <si>
    <t>Daily Calorie Deficit:</t>
  </si>
  <si>
    <t>current</t>
  </si>
  <si>
    <t>goal</t>
  </si>
  <si>
    <t>tdee</t>
  </si>
  <si>
    <t>units/conversions</t>
  </si>
  <si>
    <t>Week</t>
  </si>
  <si>
    <t>Stats</t>
  </si>
  <si>
    <t>Sun.</t>
  </si>
  <si>
    <t>Mon.</t>
  </si>
  <si>
    <t>Tues.</t>
  </si>
  <si>
    <t>Wed.</t>
  </si>
  <si>
    <t>Thurs.</t>
  </si>
  <si>
    <t>Fri.</t>
  </si>
  <si>
    <t>Sat.</t>
  </si>
  <si>
    <t>Avg.</t>
  </si>
  <si>
    <t>∆</t>
  </si>
  <si>
    <t>TDEE</t>
  </si>
  <si>
    <t>row count</t>
  </si>
  <si>
    <t>lb cal</t>
  </si>
  <si>
    <t>kg cal</t>
  </si>
  <si>
    <t>lb kj</t>
  </si>
  <si>
    <t>kg kj</t>
  </si>
  <si>
    <t>Trend Weight (EWMA)</t>
  </si>
  <si>
    <t>Smoothed TDEE</t>
  </si>
  <si>
    <t>Daily Target (20%)</t>
  </si>
  <si>
    <t>?</t>
  </si>
  <si>
    <t>weight:</t>
  </si>
  <si>
    <t>tdee: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</si>
</sst>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.0"/>
    <numFmt numFmtId="165" formatCode="0.0%"/>
    <numFmt numFmtId="166" formatCode="yyyy-mm"/>
    <numFmt numFmtId="167" formatCode="[$-409]d\-mmm\-yy"/>
    <numFmt numFmtId="168" formatCode="&quot;~&quot;General"/>
    <numFmt numFmtId="169" formatCode="[Red]#,##0.0;[Green]#,##0.0"/>
    <numFmt numFmtId="170" formatCode="#,##0.00_);[Red]\-#,##0.00"/>
  </numFmts>
  <fonts count="15">
    <font>
      <sz val="11.0"/>
      <color rgb="FF000000"/>
      <name val="Calibri"/>
      <scheme val="minor"/>
    </font>
    <font>
      <u/>
      <sz val="11.0"/>
      <color rgb="FF0000FF"/>
      <name val="Calibri"/>
    </font>
    <font>
      <b/>
      <color rgb="FF008000"/>
      <name val="Calibri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rgb="FFFF0000"/>
      <name val="Calibri"/>
    </font>
    <font>
      <u/>
      <sz val="11.0"/>
      <color rgb="FFFF0000"/>
      <name val="Calibri"/>
    </font>
    <font>
      <b/>
      <sz val="12.0"/>
      <color rgb="FFFFFFFF"/>
      <name val="Calibri"/>
    </font>
    <font/>
    <font>
      <b/>
      <sz val="11.0"/>
      <color rgb="FF000000"/>
      <name val="Calibri"/>
    </font>
    <font>
      <b/>
      <sz val="11.0"/>
      <color rgb="FFFF0000"/>
      <name val="Calibri"/>
    </font>
    <font>
      <b/>
      <color rgb="FFFFFFFF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rgb="FF00B0F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7F7F7F"/>
        <bgColor rgb="FF7F7F7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333333"/>
        <bgColor rgb="FF333333"/>
      </patternFill>
    </fill>
  </fills>
  <borders count="9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7F7F7F"/>
      </bottom>
    </border>
    <border>
      <top style="thin">
        <color rgb="FF000000"/>
      </top>
      <bottom style="thin">
        <color rgb="FF7F7F7F"/>
      </bottom>
    </border>
    <border>
      <right style="thin">
        <color rgb="FF7F7F7F"/>
      </right>
      <top style="thin">
        <color rgb="FF000000"/>
      </top>
      <bottom style="thin">
        <color rgb="FF7F7F7F"/>
      </bottom>
    </border>
    <border>
      <left style="thin">
        <color rgb="FF7F7F7F"/>
      </left>
      <top style="thin">
        <color rgb="FF000000"/>
      </top>
      <bottom style="hair">
        <color rgb="FF000000"/>
      </bottom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left/>
      <top style="thin">
        <color rgb="FF000000"/>
      </top>
      <bottom style="thin">
        <color rgb="FF7F7F7F"/>
      </bottom>
    </border>
    <border>
      <right style="thin">
        <color rgb="FF000000"/>
      </right>
      <top style="thin">
        <color rgb="FF000000"/>
      </top>
      <bottom style="thin">
        <color rgb="FF7F7F7F"/>
      </bottom>
    </border>
    <border>
      <left/>
      <top/>
    </border>
    <border>
      <top/>
    </border>
    <border>
      <left/>
      <right/>
      <top/>
    </border>
    <border>
      <left style="thin">
        <color rgb="FF000000"/>
      </left>
      <top style="thin">
        <color rgb="FF7F7F7F"/>
      </top>
      <bottom style="thin">
        <color rgb="FF7F7F7F"/>
      </bottom>
    </border>
    <border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/>
      <bottom style="thin">
        <color rgb="FF7F7F7F"/>
      </bottom>
    </border>
    <border>
      <right style="thin">
        <color rgb="FF000000"/>
      </right>
      <top/>
      <bottom style="thin">
        <color rgb="FF7F7F7F"/>
      </bottom>
    </border>
    <border>
      <left/>
      <right/>
      <top style="thin">
        <color rgb="FF7F7F7F"/>
      </top>
      <bottom style="thin">
        <color rgb="FF7F7F7F"/>
      </bottom>
    </border>
    <border>
      <left/>
      <right style="thin">
        <color rgb="FF000000"/>
      </right>
      <top style="thin">
        <color rgb="FF7F7F7F"/>
      </top>
      <bottom style="thin">
        <color rgb="FF7F7F7F"/>
      </bottom>
    </border>
    <border>
      <left/>
    </border>
    <border>
      <left/>
      <right/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right style="thin">
        <color rgb="FF000000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hair">
        <color rgb="FF0C0C0C"/>
      </bottom>
    </border>
    <border>
      <left style="thin">
        <color rgb="FF7F7F7F"/>
      </left>
      <right/>
      <top style="hair">
        <color rgb="FF0C0C0C"/>
      </top>
      <bottom style="hair">
        <color rgb="FF0C0C0C"/>
      </bottom>
    </border>
    <border>
      <left style="thin">
        <color rgb="FF000000"/>
      </left>
      <top style="thin">
        <color rgb="FF7F7F7F"/>
      </top>
      <bottom/>
    </border>
    <border>
      <top style="thin">
        <color rgb="FF7F7F7F"/>
      </top>
      <bottom/>
    </border>
    <border>
      <left/>
      <top style="thin">
        <color rgb="FF7F7F7F"/>
      </top>
      <bottom/>
    </border>
    <border>
      <right style="thin">
        <color rgb="FF000000"/>
      </right>
      <top style="thin">
        <color rgb="FF7F7F7F"/>
      </top>
      <bottom/>
    </border>
    <border>
      <left style="thin">
        <color rgb="FF7F7F7F"/>
      </left>
      <right/>
      <top style="hair">
        <color rgb="FF0C0C0C"/>
      </top>
      <bottom style="thin">
        <color rgb="FF7F7F7F"/>
      </bottom>
    </border>
    <border>
      <left style="thin">
        <color rgb="FF000000"/>
      </left>
      <top/>
      <bottom style="thin">
        <color rgb="FF7F7F7F"/>
      </bottom>
    </border>
    <border>
      <top/>
      <bottom style="thin">
        <color rgb="FF7F7F7F"/>
      </bottom>
    </border>
    <border>
      <left/>
      <right/>
      <top/>
      <bottom style="thin">
        <color rgb="FF7F7F7F"/>
      </bottom>
    </border>
    <border>
      <left/>
      <right style="thin">
        <color rgb="FF000000"/>
      </right>
      <top/>
      <bottom style="thin">
        <color rgb="FF7F7F7F"/>
      </bottom>
    </border>
    <border>
      <left style="thin">
        <color rgb="FF000000"/>
      </left>
      <top style="thin">
        <color rgb="FF7F7F7F"/>
      </top>
      <bottom style="thin">
        <color rgb="FF000000"/>
      </bottom>
    </border>
    <border>
      <top style="thin">
        <color rgb="FF7F7F7F"/>
      </top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/>
      <top style="thin">
        <color rgb="FF7F7F7F"/>
      </top>
      <bottom style="thin">
        <color rgb="FF000000"/>
      </bottom>
    </border>
    <border>
      <left/>
      <top style="thin">
        <color rgb="FF7F7F7F"/>
      </top>
      <bottom style="thin">
        <color rgb="FF000000"/>
      </bottom>
    </border>
    <border>
      <right style="thin">
        <color rgb="FF000000"/>
      </right>
      <top style="thin">
        <color rgb="FF7F7F7F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 style="thin">
        <color rgb="FF7F7F7F"/>
      </right>
      <top style="thin">
        <color rgb="FF000000"/>
      </top>
      <bottom style="thin">
        <color rgb="FF7F7F7F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</border>
    <border>
      <left style="thin">
        <color rgb="FF000000"/>
      </left>
      <right style="thin">
        <color rgb="FF7F7F7F"/>
      </right>
      <bottom style="thin">
        <color rgb="FF7F7F7F"/>
      </bottom>
    </border>
    <border>
      <right style="thin">
        <color rgb="FF7F7F7F"/>
      </right>
      <bottom style="thin">
        <color rgb="FF7F7F7F"/>
      </bottom>
    </border>
    <border>
      <right style="thin">
        <color rgb="FF000000"/>
      </right>
      <bottom style="thin">
        <color rgb="FF7F7F7F"/>
      </bottom>
    </border>
    <border>
      <left style="thin">
        <color rgb="FF000000"/>
      </left>
      <right/>
      <top/>
      <bottom style="thin">
        <color rgb="FF7F7F7F"/>
      </bottom>
    </border>
    <border>
      <left/>
      <right/>
      <bottom style="thin">
        <color rgb="FF7F7F7F"/>
      </bottom>
    </border>
    <border>
      <left/>
      <right style="thin">
        <color rgb="FF000000"/>
      </right>
      <bottom style="thin">
        <color rgb="FF7F7F7F"/>
      </bottom>
    </border>
    <border>
      <left style="thin">
        <color rgb="FF000000"/>
      </left>
      <right/>
      <top style="thin">
        <color rgb="FF7F7F7F"/>
      </top>
    </border>
    <border>
      <left/>
      <right/>
      <top style="thin">
        <color rgb="FF7F7F7F"/>
      </top>
      <bottom/>
    </border>
    <border>
      <left style="thin">
        <color rgb="FF000000"/>
      </left>
      <right/>
      <top style="thin">
        <color rgb="FF7F7F7F"/>
      </top>
      <bottom/>
    </border>
    <border>
      <left/>
      <right/>
      <top style="thin">
        <color rgb="FF7F7F7F"/>
      </top>
    </border>
    <border>
      <left/>
      <right style="thin">
        <color rgb="FF000000"/>
      </right>
      <top style="thin">
        <color rgb="FF7F7F7F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bottom style="thin">
        <color rgb="FF7F7F7F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top/>
    </border>
    <border>
      <right style="thin">
        <color rgb="FF000000"/>
      </right>
      <top/>
    </border>
    <border>
      <left style="thin">
        <color rgb="FF000000"/>
      </left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000000"/>
      </top>
      <bottom style="thin">
        <color rgb="FF7F7F7F"/>
      </bottom>
    </border>
    <border>
      <left style="thin">
        <color rgb="FF7F7F7F"/>
      </left>
      <right/>
      <top style="thin">
        <color rgb="FF000000"/>
      </top>
      <bottom style="thin">
        <color rgb="FF7F7F7F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000000"/>
      </right>
      <top style="thin">
        <color rgb="FF7F7F7F"/>
      </top>
      <bottom/>
    </border>
    <border>
      <right/>
      <top/>
      <bottom/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</border>
    <border>
      <left style="thin">
        <color rgb="FF7F7F7F"/>
      </left>
      <right/>
      <top style="thin">
        <color rgb="FF7F7F7F"/>
      </top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ont="1">
      <alignment horizontal="center"/>
    </xf>
    <xf borderId="1" fillId="2" fontId="3" numFmtId="0" xfId="0" applyAlignment="1" applyBorder="1" applyFont="1">
      <alignment horizontal="center"/>
    </xf>
    <xf borderId="1" fillId="2" fontId="4" numFmtId="0" xfId="0" applyAlignment="1" applyBorder="1" applyFont="1">
      <alignment horizontal="center"/>
    </xf>
    <xf borderId="1" fillId="2" fontId="4" numFmtId="164" xfId="0" applyAlignment="1" applyBorder="1" applyFont="1" applyNumberFormat="1">
      <alignment horizontal="center"/>
    </xf>
    <xf borderId="1" fillId="2" fontId="5" numFmtId="0" xfId="0" applyAlignment="1" applyBorder="1" applyFont="1">
      <alignment horizontal="center"/>
    </xf>
    <xf borderId="1" fillId="2" fontId="5" numFmtId="164" xfId="0" applyAlignment="1" applyBorder="1" applyFont="1" applyNumberFormat="1">
      <alignment horizontal="left"/>
    </xf>
    <xf borderId="1" fillId="2" fontId="5" numFmtId="0" xfId="0" applyAlignment="1" applyBorder="1" applyFont="1">
      <alignment horizontal="left"/>
    </xf>
    <xf borderId="1" fillId="2" fontId="6" numFmtId="0" xfId="0" applyAlignment="1" applyBorder="1" applyFont="1">
      <alignment horizontal="left"/>
    </xf>
    <xf borderId="2" fillId="3" fontId="7" numFmtId="0" xfId="0" applyAlignment="1" applyBorder="1" applyFill="1" applyFont="1">
      <alignment horizontal="center"/>
    </xf>
    <xf borderId="3" fillId="0" fontId="8" numFmtId="0" xfId="0" applyBorder="1" applyFont="1"/>
    <xf borderId="4" fillId="0" fontId="8" numFmtId="0" xfId="0" applyBorder="1" applyFont="1"/>
    <xf borderId="5" fillId="2" fontId="4" numFmtId="0" xfId="0" applyAlignment="1" applyBorder="1" applyFont="1">
      <alignment horizontal="right" shrinkToFit="0" wrapText="1"/>
    </xf>
    <xf borderId="6" fillId="0" fontId="8" numFmtId="0" xfId="0" applyBorder="1" applyFont="1"/>
    <xf borderId="1" fillId="2" fontId="4" numFmtId="165" xfId="0" applyAlignment="1" applyBorder="1" applyFont="1" applyNumberFormat="1">
      <alignment horizontal="center" vertical="center"/>
    </xf>
    <xf borderId="1" fillId="2" fontId="3" numFmtId="0" xfId="0" applyBorder="1" applyFont="1"/>
    <xf borderId="7" fillId="4" fontId="3" numFmtId="0" xfId="0" applyAlignment="1" applyBorder="1" applyFill="1" applyFont="1">
      <alignment horizontal="right" vertical="center"/>
    </xf>
    <xf borderId="8" fillId="0" fontId="8" numFmtId="0" xfId="0" applyBorder="1" applyFont="1"/>
    <xf borderId="9" fillId="0" fontId="8" numFmtId="0" xfId="0" applyBorder="1" applyFont="1"/>
    <xf borderId="10" fillId="5" fontId="3" numFmtId="166" xfId="0" applyAlignment="1" applyBorder="1" applyFill="1" applyFont="1" applyNumberFormat="1">
      <alignment horizontal="center"/>
    </xf>
    <xf borderId="11" fillId="0" fontId="8" numFmtId="0" xfId="0" applyBorder="1" applyFont="1"/>
    <xf borderId="7" fillId="6" fontId="3" numFmtId="0" xfId="0" applyAlignment="1" applyBorder="1" applyFill="1" applyFont="1">
      <alignment horizontal="right"/>
    </xf>
    <xf borderId="12" fillId="6" fontId="3" numFmtId="167" xfId="0" applyAlignment="1" applyBorder="1" applyFont="1" applyNumberFormat="1">
      <alignment horizontal="center"/>
    </xf>
    <xf borderId="13" fillId="0" fontId="8" numFmtId="0" xfId="0" applyBorder="1" applyFont="1"/>
    <xf borderId="14" fillId="2" fontId="4" numFmtId="0" xfId="0" applyAlignment="1" applyBorder="1" applyFont="1">
      <alignment horizontal="right" shrinkToFit="0" wrapText="1"/>
    </xf>
    <xf borderId="15" fillId="0" fontId="8" numFmtId="0" xfId="0" applyBorder="1" applyFont="1"/>
    <xf borderId="16" fillId="2" fontId="4" numFmtId="164" xfId="0" applyAlignment="1" applyBorder="1" applyFont="1" applyNumberFormat="1">
      <alignment horizontal="center" vertical="center"/>
    </xf>
    <xf borderId="17" fillId="6" fontId="3" numFmtId="0" xfId="0" applyAlignment="1" applyBorder="1" applyFont="1">
      <alignment horizontal="right"/>
    </xf>
    <xf borderId="18" fillId="0" fontId="8" numFmtId="0" xfId="0" applyBorder="1" applyFont="1"/>
    <xf borderId="19" fillId="0" fontId="8" numFmtId="0" xfId="0" applyBorder="1" applyFont="1"/>
    <xf borderId="20" fillId="5" fontId="3" numFmtId="0" xfId="0" applyAlignment="1" applyBorder="1" applyFont="1">
      <alignment horizontal="center"/>
    </xf>
    <xf borderId="21" fillId="0" fontId="8" numFmtId="0" xfId="0" applyBorder="1" applyFont="1"/>
    <xf borderId="22" fillId="6" fontId="9" numFmtId="164" xfId="0" applyAlignment="1" applyBorder="1" applyFont="1" applyNumberFormat="1">
      <alignment horizontal="center"/>
    </xf>
    <xf borderId="23" fillId="6" fontId="3" numFmtId="0" xfId="0" applyAlignment="1" applyBorder="1" applyFont="1">
      <alignment horizontal="left"/>
    </xf>
    <xf borderId="1" fillId="2" fontId="4" numFmtId="0" xfId="0" applyAlignment="1" applyBorder="1" applyFont="1">
      <alignment horizontal="left"/>
    </xf>
    <xf borderId="24" fillId="0" fontId="8" numFmtId="0" xfId="0" applyBorder="1" applyFont="1"/>
    <xf borderId="25" fillId="0" fontId="8" numFmtId="0" xfId="0" applyBorder="1" applyFont="1"/>
    <xf borderId="26" fillId="5" fontId="3" numFmtId="0" xfId="0" applyAlignment="1" applyBorder="1" applyFont="1">
      <alignment horizontal="center"/>
    </xf>
    <xf borderId="27" fillId="0" fontId="8" numFmtId="0" xfId="0" applyBorder="1" applyFont="1"/>
    <xf borderId="16" fillId="2" fontId="4" numFmtId="16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left" shrinkToFit="0" vertical="center" wrapText="1"/>
    </xf>
    <xf borderId="28" fillId="5" fontId="3" numFmtId="0" xfId="0" applyAlignment="1" applyBorder="1" applyFont="1">
      <alignment horizontal="right"/>
    </xf>
    <xf borderId="22" fillId="6" fontId="3" numFmtId="168" xfId="0" applyAlignment="1" applyBorder="1" applyFont="1" applyNumberFormat="1">
      <alignment horizontal="center"/>
    </xf>
    <xf borderId="29" fillId="5" fontId="3" numFmtId="0" xfId="0" applyAlignment="1" applyBorder="1" applyFont="1">
      <alignment horizontal="right" readingOrder="0"/>
    </xf>
    <xf borderId="30" fillId="6" fontId="3" numFmtId="0" xfId="0" applyAlignment="1" applyBorder="1" applyFont="1">
      <alignment horizontal="right"/>
    </xf>
    <xf borderId="31" fillId="0" fontId="8" numFmtId="0" xfId="0" applyBorder="1" applyFont="1"/>
    <xf borderId="32" fillId="6" fontId="3" numFmtId="167" xfId="0" applyAlignment="1" applyBorder="1" applyFont="1" applyNumberFormat="1">
      <alignment horizontal="left"/>
    </xf>
    <xf borderId="33" fillId="0" fontId="8" numFmtId="0" xfId="0" applyBorder="1" applyFont="1"/>
    <xf borderId="5" fillId="2" fontId="4" numFmtId="0" xfId="0" applyAlignment="1" applyBorder="1" applyFont="1">
      <alignment horizontal="right"/>
    </xf>
    <xf borderId="1" fillId="2" fontId="4" numFmtId="164" xfId="0" applyAlignment="1" applyBorder="1" applyFont="1" applyNumberFormat="1">
      <alignment horizontal="center" vertical="center"/>
    </xf>
    <xf borderId="17" fillId="6" fontId="9" numFmtId="0" xfId="0" applyAlignment="1" applyBorder="1" applyFont="1">
      <alignment horizontal="right"/>
    </xf>
    <xf borderId="34" fillId="7" fontId="3" numFmtId="9" xfId="0" applyAlignment="1" applyBorder="1" applyFill="1" applyFont="1" applyNumberFormat="1">
      <alignment horizontal="right" readingOrder="0"/>
    </xf>
    <xf borderId="35" fillId="6" fontId="3" numFmtId="0" xfId="0" applyAlignment="1" applyBorder="1" applyFont="1">
      <alignment horizontal="right"/>
    </xf>
    <xf borderId="36" fillId="0" fontId="8" numFmtId="0" xfId="0" applyBorder="1" applyFont="1"/>
    <xf borderId="37" fillId="6" fontId="3" numFmtId="1" xfId="0" applyAlignment="1" applyBorder="1" applyFont="1" applyNumberFormat="1">
      <alignment horizontal="center"/>
    </xf>
    <xf borderId="38" fillId="6" fontId="3" numFmtId="0" xfId="0" applyAlignment="1" applyBorder="1" applyFont="1">
      <alignment horizontal="left"/>
    </xf>
    <xf borderId="39" fillId="6" fontId="3" numFmtId="0" xfId="0" applyAlignment="1" applyBorder="1" applyFont="1">
      <alignment horizontal="right"/>
    </xf>
    <xf borderId="40" fillId="0" fontId="8" numFmtId="0" xfId="0" applyBorder="1" applyFont="1"/>
    <xf borderId="41" fillId="6" fontId="3" numFmtId="0" xfId="0" applyAlignment="1" applyBorder="1" applyFont="1">
      <alignment horizontal="right"/>
    </xf>
    <xf borderId="41" fillId="6" fontId="3" numFmtId="0" xfId="0" applyAlignment="1" applyBorder="1" applyFont="1">
      <alignment horizontal="left"/>
    </xf>
    <xf borderId="42" fillId="6" fontId="3" numFmtId="164" xfId="0" applyAlignment="1" applyBorder="1" applyFont="1" applyNumberFormat="1">
      <alignment horizontal="right"/>
    </xf>
    <xf borderId="43" fillId="6" fontId="3" numFmtId="0" xfId="0" applyAlignment="1" applyBorder="1" applyFont="1">
      <alignment horizontal="left"/>
    </xf>
    <xf borderId="44" fillId="0" fontId="8" numFmtId="0" xfId="0" applyBorder="1" applyFont="1"/>
    <xf borderId="1" fillId="2" fontId="5" numFmtId="2" xfId="0" applyAlignment="1" applyBorder="1" applyFont="1" applyNumberFormat="1">
      <alignment horizontal="left"/>
    </xf>
    <xf borderId="1" fillId="2" fontId="5" numFmtId="0" xfId="0" applyAlignment="1" applyBorder="1" applyFont="1">
      <alignment horizontal="left" vertical="center"/>
    </xf>
    <xf borderId="1" fillId="2" fontId="10" numFmtId="169" xfId="0" applyAlignment="1" applyBorder="1" applyFont="1" applyNumberFormat="1">
      <alignment horizontal="left" vertical="center"/>
    </xf>
    <xf borderId="45" fillId="6" fontId="3" numFmtId="0" xfId="0" applyAlignment="1" applyBorder="1" applyFont="1">
      <alignment horizontal="center"/>
    </xf>
    <xf borderId="46" fillId="6" fontId="3" numFmtId="0" xfId="0" applyAlignment="1" applyBorder="1" applyFont="1">
      <alignment horizontal="center"/>
    </xf>
    <xf borderId="47" fillId="6" fontId="3" numFmtId="0" xfId="0" applyAlignment="1" applyBorder="1" applyFont="1">
      <alignment horizontal="center"/>
    </xf>
    <xf borderId="48" fillId="6" fontId="3" numFmtId="0" xfId="0" applyAlignment="1" applyBorder="1" applyFont="1">
      <alignment horizontal="center"/>
    </xf>
    <xf borderId="0" fillId="8" fontId="11" numFmtId="0" xfId="0" applyAlignment="1" applyFill="1" applyFont="1">
      <alignment horizontal="center"/>
    </xf>
    <xf borderId="49" fillId="6" fontId="3" numFmtId="167" xfId="0" applyAlignment="1" applyBorder="1" applyFont="1" applyNumberFormat="1">
      <alignment horizontal="center" vertical="center"/>
    </xf>
    <xf borderId="50" fillId="5" fontId="3" numFmtId="0" xfId="0" applyAlignment="1" applyBorder="1" applyFont="1">
      <alignment horizontal="center" vertical="bottom"/>
    </xf>
    <xf borderId="9" fillId="5" fontId="3" numFmtId="0" xfId="0" applyAlignment="1" applyBorder="1" applyFont="1">
      <alignment horizontal="center" vertical="bottom"/>
    </xf>
    <xf borderId="13" fillId="5" fontId="3" numFmtId="0" xfId="0" applyAlignment="1" applyBorder="1" applyFont="1">
      <alignment horizontal="center" vertical="bottom"/>
    </xf>
    <xf borderId="51" fillId="6" fontId="3" numFmtId="164" xfId="0" applyAlignment="1" applyBorder="1" applyFont="1" applyNumberFormat="1">
      <alignment horizontal="center"/>
    </xf>
    <xf borderId="52" fillId="6" fontId="9" numFmtId="170" xfId="0" applyAlignment="1" applyBorder="1" applyFont="1" applyNumberFormat="1">
      <alignment horizontal="center" vertical="center"/>
    </xf>
    <xf borderId="53" fillId="6" fontId="3" numFmtId="1" xfId="0" applyAlignment="1" applyBorder="1" applyFont="1" applyNumberFormat="1">
      <alignment horizontal="center" vertical="center"/>
    </xf>
    <xf borderId="1" fillId="2" fontId="4" numFmtId="1" xfId="0" applyAlignment="1" applyBorder="1" applyFont="1" applyNumberFormat="1">
      <alignment horizontal="center" vertical="center"/>
    </xf>
    <xf borderId="1" fillId="2" fontId="5" numFmtId="1" xfId="0" applyAlignment="1" applyBorder="1" applyFont="1" applyNumberFormat="1">
      <alignment horizontal="center" vertical="center"/>
    </xf>
    <xf borderId="1" fillId="2" fontId="5" numFmtId="164" xfId="0" applyAlignment="1" applyBorder="1" applyFont="1" applyNumberFormat="1">
      <alignment horizontal="left" vertical="center"/>
    </xf>
    <xf borderId="1" fillId="2" fontId="5" numFmtId="164" xfId="0" applyAlignment="1" applyBorder="1" applyFont="1" applyNumberFormat="1">
      <alignment horizontal="center"/>
    </xf>
    <xf borderId="16" fillId="2" fontId="5" numFmtId="2" xfId="0" applyAlignment="1" applyBorder="1" applyFont="1" applyNumberFormat="1">
      <alignment horizontal="center" vertical="center"/>
    </xf>
    <xf borderId="16" fillId="2" fontId="5" numFmtId="1" xfId="0" applyAlignment="1" applyBorder="1" applyFont="1" applyNumberFormat="1">
      <alignment horizontal="center" vertical="center"/>
    </xf>
    <xf borderId="1" fillId="2" fontId="5" numFmtId="1" xfId="0" applyAlignment="1" applyBorder="1" applyFont="1" applyNumberFormat="1">
      <alignment horizontal="left"/>
    </xf>
    <xf borderId="0" fillId="0" fontId="12" numFmtId="164" xfId="0" applyFont="1" applyNumberFormat="1"/>
    <xf borderId="0" fillId="0" fontId="12" numFmtId="1" xfId="0" applyFont="1" applyNumberFormat="1"/>
    <xf borderId="0" fillId="0" fontId="12" numFmtId="0" xfId="0" applyFont="1"/>
    <xf borderId="54" fillId="0" fontId="8" numFmtId="0" xfId="0" applyBorder="1" applyFont="1"/>
    <xf borderId="1" fillId="6" fontId="3" numFmtId="0" xfId="0" applyAlignment="1" applyBorder="1" applyFont="1">
      <alignment horizontal="center"/>
    </xf>
    <xf borderId="55" fillId="5" fontId="3" numFmtId="0" xfId="0" applyAlignment="1" applyBorder="1" applyFont="1">
      <alignment horizontal="center" vertical="bottom"/>
    </xf>
    <xf borderId="56" fillId="5" fontId="3" numFmtId="0" xfId="0" applyAlignment="1" applyBorder="1" applyFont="1">
      <alignment horizontal="center" vertical="bottom"/>
    </xf>
    <xf borderId="57" fillId="5" fontId="3" numFmtId="0" xfId="0" applyAlignment="1" applyBorder="1" applyFont="1">
      <alignment horizontal="center" vertical="bottom"/>
    </xf>
    <xf borderId="58" fillId="6" fontId="3" numFmtId="1" xfId="0" applyAlignment="1" applyBorder="1" applyFont="1" applyNumberFormat="1">
      <alignment horizontal="center"/>
    </xf>
    <xf borderId="59" fillId="0" fontId="8" numFmtId="0" xfId="0" applyBorder="1" applyFont="1"/>
    <xf borderId="60" fillId="0" fontId="8" numFmtId="0" xfId="0" applyBorder="1" applyFont="1"/>
    <xf borderId="1" fillId="2" fontId="5" numFmtId="1" xfId="0" applyAlignment="1" applyBorder="1" applyFont="1" applyNumberFormat="1">
      <alignment horizontal="center"/>
    </xf>
    <xf borderId="61" fillId="6" fontId="3" numFmtId="167" xfId="0" applyAlignment="1" applyBorder="1" applyFont="1" applyNumberFormat="1">
      <alignment horizontal="center" vertical="center"/>
    </xf>
    <xf borderId="62" fillId="6" fontId="3" numFmtId="0" xfId="0" applyAlignment="1" applyBorder="1" applyFont="1">
      <alignment horizontal="center"/>
    </xf>
    <xf borderId="63" fillId="6" fontId="3" numFmtId="164" xfId="0" applyAlignment="1" applyBorder="1" applyFont="1" applyNumberFormat="1">
      <alignment horizontal="center"/>
    </xf>
    <xf borderId="64" fillId="6" fontId="9" numFmtId="170" xfId="0" applyAlignment="1" applyBorder="1" applyFont="1" applyNumberFormat="1">
      <alignment horizontal="center" vertical="center"/>
    </xf>
    <xf borderId="65" fillId="6" fontId="3" numFmtId="1" xfId="0" applyAlignment="1" applyBorder="1" applyFont="1" applyNumberFormat="1">
      <alignment horizontal="center" vertical="center"/>
    </xf>
    <xf borderId="66" fillId="6" fontId="13" numFmtId="1" xfId="0" applyAlignment="1" applyBorder="1" applyFont="1" applyNumberFormat="1">
      <alignment horizontal="right" vertical="center"/>
    </xf>
    <xf borderId="67" fillId="0" fontId="8" numFmtId="0" xfId="0" applyBorder="1" applyFont="1"/>
    <xf borderId="68" fillId="6" fontId="13" numFmtId="167" xfId="0" applyAlignment="1" applyBorder="1" applyFont="1" applyNumberFormat="1">
      <alignment horizontal="center" vertical="center"/>
    </xf>
    <xf borderId="52" fillId="6" fontId="13" numFmtId="1" xfId="0" applyAlignment="1" applyBorder="1" applyFont="1" applyNumberFormat="1">
      <alignment horizontal="center" vertical="center"/>
    </xf>
    <xf borderId="68" fillId="6" fontId="13" numFmtId="167" xfId="0" applyAlignment="1" applyBorder="1" applyFont="1" applyNumberFormat="1">
      <alignment horizontal="left" vertical="center"/>
    </xf>
    <xf borderId="69" fillId="0" fontId="8" numFmtId="0" xfId="0" applyBorder="1" applyFont="1"/>
    <xf borderId="1" fillId="2" fontId="5" numFmtId="0" xfId="0" applyBorder="1" applyFont="1"/>
    <xf borderId="70" fillId="0" fontId="8" numFmtId="0" xfId="0" applyBorder="1" applyFont="1"/>
    <xf borderId="37" fillId="6" fontId="3" numFmtId="0" xfId="0" applyAlignment="1" applyBorder="1" applyFont="1">
      <alignment horizontal="center"/>
    </xf>
    <xf borderId="71" fillId="0" fontId="8" numFmtId="0" xfId="0" applyBorder="1" applyFont="1"/>
    <xf borderId="72" fillId="0" fontId="8" numFmtId="0" xfId="0" applyBorder="1" applyFont="1"/>
    <xf borderId="73" fillId="6" fontId="4" numFmtId="0" xfId="0" applyAlignment="1" applyBorder="1" applyFont="1">
      <alignment horizontal="right" vertical="center"/>
    </xf>
    <xf borderId="1" fillId="6" fontId="4" numFmtId="164" xfId="0" applyAlignment="1" applyBorder="1" applyFont="1" applyNumberFormat="1">
      <alignment horizontal="center" vertical="center"/>
    </xf>
    <xf borderId="5" fillId="6" fontId="3" numFmtId="0" xfId="0" applyAlignment="1" applyBorder="1" applyFont="1">
      <alignment horizontal="left" vertical="center"/>
    </xf>
    <xf borderId="74" fillId="0" fontId="8" numFmtId="0" xfId="0" applyBorder="1" applyFont="1"/>
    <xf borderId="73" fillId="6" fontId="4" numFmtId="1" xfId="0" applyAlignment="1" applyBorder="1" applyFont="1" applyNumberFormat="1">
      <alignment horizontal="right" vertical="center"/>
    </xf>
    <xf borderId="5" fillId="6" fontId="4" numFmtId="164" xfId="0" applyAlignment="1" applyBorder="1" applyFont="1" applyNumberFormat="1">
      <alignment horizontal="center" vertical="center"/>
    </xf>
    <xf borderId="5" fillId="6" fontId="4" numFmtId="1" xfId="0" applyAlignment="1" applyBorder="1" applyFont="1" applyNumberFormat="1">
      <alignment horizontal="left" vertical="center"/>
    </xf>
    <xf borderId="75" fillId="4" fontId="13" numFmtId="1" xfId="0" applyAlignment="1" applyBorder="1" applyFont="1" applyNumberFormat="1">
      <alignment horizontal="right" vertical="center"/>
    </xf>
    <xf borderId="16" fillId="4" fontId="13" numFmtId="164" xfId="0" applyAlignment="1" applyBorder="1" applyFont="1" applyNumberFormat="1">
      <alignment horizontal="center" vertical="center"/>
    </xf>
    <xf borderId="14" fillId="4" fontId="13" numFmtId="1" xfId="0" applyAlignment="1" applyBorder="1" applyFont="1" applyNumberFormat="1">
      <alignment horizontal="left" vertical="center"/>
    </xf>
    <xf borderId="76" fillId="0" fontId="8" numFmtId="0" xfId="0" applyBorder="1" applyFont="1"/>
    <xf borderId="77" fillId="6" fontId="3" numFmtId="1" xfId="0" applyAlignment="1" applyBorder="1" applyFont="1" applyNumberFormat="1">
      <alignment horizontal="center"/>
    </xf>
    <xf borderId="78" fillId="0" fontId="8" numFmtId="0" xfId="0" applyBorder="1" applyFont="1"/>
    <xf borderId="79" fillId="0" fontId="8" numFmtId="0" xfId="0" applyBorder="1" applyFont="1"/>
    <xf borderId="80" fillId="0" fontId="8" numFmtId="0" xfId="0" applyBorder="1" applyFont="1"/>
    <xf borderId="81" fillId="0" fontId="8" numFmtId="0" xfId="0" applyBorder="1" applyFont="1"/>
    <xf borderId="82" fillId="0" fontId="8" numFmtId="0" xfId="0" applyBorder="1" applyFont="1"/>
    <xf borderId="83" fillId="0" fontId="8" numFmtId="0" xfId="0" applyBorder="1" applyFont="1"/>
    <xf borderId="50" fillId="5" fontId="4" numFmtId="0" xfId="0" applyAlignment="1" applyBorder="1" applyFont="1">
      <alignment horizontal="center" vertical="bottom"/>
    </xf>
    <xf borderId="84" fillId="5" fontId="4" numFmtId="0" xfId="0" applyAlignment="1" applyBorder="1" applyFont="1">
      <alignment horizontal="center" vertical="bottom"/>
    </xf>
    <xf borderId="84" fillId="5" fontId="4" numFmtId="0" xfId="0" applyAlignment="1" applyBorder="1" applyFont="1">
      <alignment readingOrder="0" vertical="bottom"/>
    </xf>
    <xf borderId="84" fillId="5" fontId="4" numFmtId="0" xfId="0" applyAlignment="1" applyBorder="1" applyFont="1">
      <alignment horizontal="center" readingOrder="0" vertical="bottom"/>
    </xf>
    <xf borderId="85" fillId="5" fontId="4" numFmtId="0" xfId="0" applyAlignment="1" applyBorder="1" applyFont="1">
      <alignment readingOrder="0" vertical="bottom"/>
    </xf>
    <xf borderId="86" fillId="6" fontId="3" numFmtId="0" xfId="0" applyAlignment="1" applyBorder="1" applyFont="1">
      <alignment horizontal="center"/>
    </xf>
    <xf borderId="87" fillId="5" fontId="4" numFmtId="0" xfId="0" applyAlignment="1" applyBorder="1" applyFont="1">
      <alignment horizontal="center" vertical="bottom"/>
    </xf>
    <xf borderId="88" fillId="5" fontId="4" numFmtId="0" xfId="0" applyAlignment="1" applyBorder="1" applyFont="1">
      <alignment horizontal="center" vertical="bottom"/>
    </xf>
    <xf borderId="88" fillId="5" fontId="4" numFmtId="0" xfId="0" applyAlignment="1" applyBorder="1" applyFont="1">
      <alignment readingOrder="0" vertical="bottom"/>
    </xf>
    <xf borderId="89" fillId="5" fontId="4" numFmtId="0" xfId="0" applyAlignment="1" applyBorder="1" applyFont="1">
      <alignment readingOrder="0" vertical="bottom"/>
    </xf>
    <xf borderId="90" fillId="6" fontId="3" numFmtId="0" xfId="0" applyAlignment="1" applyBorder="1" applyFont="1">
      <alignment horizontal="center"/>
    </xf>
    <xf borderId="87" fillId="5" fontId="4" numFmtId="0" xfId="0" applyAlignment="1" applyBorder="1" applyFont="1">
      <alignment horizontal="center" readingOrder="0" vertical="bottom"/>
    </xf>
    <xf borderId="88" fillId="5" fontId="4" numFmtId="0" xfId="0" applyAlignment="1" applyBorder="1" applyFont="1">
      <alignment horizontal="center" readingOrder="0" vertical="bottom"/>
    </xf>
    <xf borderId="89" fillId="5" fontId="4" numFmtId="0" xfId="0" applyAlignment="1" applyBorder="1" applyFont="1">
      <alignment horizontal="center" readingOrder="0" vertical="bottom"/>
    </xf>
    <xf borderId="38" fillId="6" fontId="3" numFmtId="0" xfId="0" applyAlignment="1" applyBorder="1" applyFont="1">
      <alignment horizontal="center"/>
    </xf>
    <xf borderId="89" fillId="5" fontId="4" numFmtId="0" xfId="0" applyAlignment="1" applyBorder="1" applyFont="1">
      <alignment horizontal="center" vertical="bottom"/>
    </xf>
    <xf borderId="88" fillId="5" fontId="4" numFmtId="0" xfId="0" applyAlignment="1" applyBorder="1" applyFont="1">
      <alignment horizontal="center" vertical="bottom"/>
    </xf>
    <xf borderId="91" fillId="2" fontId="4" numFmtId="1" xfId="0" applyAlignment="1" applyBorder="1" applyFont="1" applyNumberFormat="1">
      <alignment horizontal="center" vertical="center"/>
    </xf>
    <xf borderId="92" fillId="0" fontId="8" numFmtId="0" xfId="0" applyBorder="1" applyFont="1"/>
    <xf borderId="93" fillId="6" fontId="3" numFmtId="0" xfId="0" applyAlignment="1" applyBorder="1" applyFont="1">
      <alignment horizontal="center"/>
    </xf>
    <xf borderId="94" fillId="5" fontId="4" numFmtId="0" xfId="0" applyAlignment="1" applyBorder="1" applyFont="1">
      <alignment horizontal="center" vertical="bottom"/>
    </xf>
    <xf borderId="95" fillId="5" fontId="4" numFmtId="0" xfId="0" applyAlignment="1" applyBorder="1" applyFont="1">
      <alignment horizontal="center" vertical="bottom"/>
    </xf>
    <xf borderId="96" fillId="5" fontId="4" numFmtId="0" xfId="0" applyAlignment="1" applyBorder="1" applyFont="1">
      <alignment horizontal="center" vertical="bottom"/>
    </xf>
    <xf borderId="50" fillId="5" fontId="3" numFmtId="0" xfId="0" applyAlignment="1" applyBorder="1" applyFont="1">
      <alignment horizontal="center"/>
    </xf>
    <xf borderId="84" fillId="5" fontId="3" numFmtId="0" xfId="0" applyAlignment="1" applyBorder="1" applyFont="1">
      <alignment horizontal="center"/>
    </xf>
    <xf borderId="85" fillId="5" fontId="3" numFmtId="0" xfId="0" applyAlignment="1" applyBorder="1" applyFont="1">
      <alignment horizontal="center"/>
    </xf>
    <xf borderId="87" fillId="5" fontId="3" numFmtId="0" xfId="0" applyAlignment="1" applyBorder="1" applyFont="1">
      <alignment horizontal="center"/>
    </xf>
    <xf borderId="88" fillId="5" fontId="3" numFmtId="0" xfId="0" applyAlignment="1" applyBorder="1" applyFont="1">
      <alignment horizontal="center"/>
    </xf>
    <xf borderId="89" fillId="5" fontId="3" numFmtId="0" xfId="0" applyAlignment="1" applyBorder="1" applyFont="1">
      <alignment horizontal="center"/>
    </xf>
    <xf borderId="16" fillId="2" fontId="5" numFmtId="1" xfId="0" applyAlignment="1" applyBorder="1" applyFont="1" applyNumberFormat="1">
      <alignment horizontal="center" readingOrder="0" vertical="center"/>
    </xf>
    <xf borderId="94" fillId="5" fontId="3" numFmtId="0" xfId="0" applyAlignment="1" applyBorder="1" applyFont="1">
      <alignment horizontal="center"/>
    </xf>
    <xf borderId="95" fillId="5" fontId="3" numFmtId="0" xfId="0" applyAlignment="1" applyBorder="1" applyFont="1">
      <alignment horizontal="center"/>
    </xf>
    <xf borderId="96" fillId="5" fontId="3" numFmtId="0" xfId="0" applyAlignment="1" applyBorder="1" applyFont="1">
      <alignment horizontal="center"/>
    </xf>
    <xf borderId="1" fillId="2" fontId="14" numFmtId="164" xfId="0" applyAlignment="1" applyBorder="1" applyFont="1" applyNumberFormat="1">
      <alignment horizontal="center"/>
    </xf>
    <xf borderId="97" fillId="2" fontId="3" numFmtId="0" xfId="0" applyAlignment="1" applyBorder="1" applyFont="1">
      <alignment horizontal="center"/>
    </xf>
    <xf borderId="1" fillId="2" fontId="14" numFmtId="0" xfId="0" applyBorder="1" applyFont="1"/>
    <xf borderId="0" fillId="0" fontId="3" numFmtId="0" xfId="0" applyFont="1"/>
  </cellXfs>
  <cellStyles count="1">
    <cellStyle xfId="0" name="Normal" builtinId="0"/>
  </cellStyles>
  <dxfs count="11">
    <dxf>
      <font/>
      <fill>
        <patternFill patternType="solid">
          <fgColor rgb="FFD8D8D8"/>
          <bgColor rgb="FFD8D8D8"/>
        </patternFill>
      </fill>
      <border>
        <bottom style="thin">
          <color theme="1"/>
        </bottom>
      </border>
    </dxf>
    <dxf>
      <font/>
      <fill>
        <patternFill patternType="solid">
          <fgColor rgb="FFD8D8D8"/>
          <bgColor rgb="FFD8D8D8"/>
        </patternFill>
      </fill>
      <border/>
    </dxf>
    <dxf>
      <font>
        <color rgb="FF008E40"/>
      </font>
      <fill>
        <patternFill patternType="solid">
          <fgColor rgb="FFD8D8D8"/>
          <bgColor rgb="FFD8D8D8"/>
        </patternFill>
      </fill>
      <border>
        <top style="thin">
          <color rgb="FF7F7F7F"/>
        </top>
        <bottom style="thin">
          <color rgb="FF7F7F7F"/>
        </bottom>
      </border>
    </dxf>
    <dxf>
      <font>
        <color rgb="FFFF0000"/>
      </font>
      <fill>
        <patternFill patternType="solid">
          <fgColor rgb="FFD8D8D8"/>
          <bgColor rgb="FFD8D8D8"/>
        </patternFill>
      </fill>
      <border>
        <top style="thin">
          <color rgb="FF7F7F7F"/>
        </top>
        <bottom style="thin">
          <color rgb="FF7F7F7F"/>
        </bottom>
      </border>
    </dxf>
    <dxf>
      <font>
        <color rgb="FF008E40"/>
      </font>
      <fill>
        <patternFill patternType="solid">
          <fgColor rgb="FFD8D8D8"/>
          <bgColor rgb="FFD8D8D8"/>
        </patternFill>
      </fill>
      <border>
        <left style="thin">
          <color rgb="FF000000"/>
        </left>
        <right style="thin">
          <color rgb="FF7F7F7F"/>
        </right>
      </border>
    </dxf>
    <dxf>
      <font>
        <color rgb="FFFF0000"/>
      </font>
      <fill>
        <patternFill patternType="solid">
          <fgColor rgb="FFD8D8D8"/>
          <bgColor rgb="FFD8D8D8"/>
        </patternFill>
      </fill>
      <border>
        <left style="thin">
          <color rgb="FF000000"/>
        </left>
        <right style="thin">
          <color rgb="FF7F7F7F"/>
        </right>
      </border>
    </dxf>
    <dxf>
      <font/>
      <fill>
        <patternFill patternType="none"/>
      </fill>
      <border>
        <left style="thin">
          <color rgb="FF000000"/>
        </left>
      </border>
    </dxf>
    <dxf>
      <font>
        <color rgb="FFD8D8D8"/>
      </font>
      <fill>
        <patternFill patternType="none"/>
      </fill>
      <border/>
    </dxf>
    <dxf>
      <font>
        <color rgb="FFBFBFBF"/>
      </font>
      <fill>
        <patternFill patternType="none"/>
      </fill>
      <border/>
    </dxf>
    <dxf>
      <font>
        <color rgb="FFBFBFBF"/>
      </font>
      <fill>
        <patternFill patternType="solid">
          <fgColor rgb="FFD8D8D8"/>
          <bgColor rgb="FFD8D8D8"/>
        </patternFill>
      </fill>
      <border>
        <bottom style="thin">
          <color rgb="FF000000"/>
        </bottom>
      </border>
    </dxf>
    <dxf>
      <font/>
      <fill>
        <patternFill patternType="solid">
          <fgColor rgb="FFD8D8D8"/>
          <bgColor rgb="FFD8D8D8"/>
        </patternFill>
      </fill>
      <border>
        <top style="thin">
          <color rgb="FF7F7F7F"/>
        </top>
        <bottom style="thin">
          <color rgb="FF000000"/>
        </bottom>
      </border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1.0" topLeftCell="A12" activePane="bottomLeft" state="frozen"/>
      <selection activeCell="B13" sqref="B13" pane="bottomLeft"/>
    </sheetView>
  </sheetViews>
  <sheetFormatPr customHeight="1" defaultColWidth="14.43" defaultRowHeight="15.0"/>
  <cols>
    <col customWidth="1" min="1" max="1" width="8.29"/>
    <col customWidth="1" min="2" max="2" width="11.29"/>
    <col customWidth="1" min="3" max="12" width="7.86"/>
    <col customWidth="1" min="13" max="13" width="8.43"/>
    <col customWidth="1" min="14" max="16" width="3.29"/>
    <col customWidth="1" min="17" max="18" width="3.43"/>
    <col customWidth="1" min="19" max="19" width="4.86"/>
    <col customWidth="1" min="20" max="20" width="2.43"/>
    <col customWidth="1" min="21" max="21" width="4.43"/>
    <col customWidth="1" min="22" max="22" width="3.29"/>
    <col customWidth="1" min="23" max="23" width="6.86"/>
    <col customWidth="1" min="24" max="24" width="6.14"/>
    <col customWidth="1" min="25" max="50" width="8.86"/>
  </cols>
  <sheetData>
    <row r="1" ht="4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4"/>
      <c r="P1" s="4"/>
      <c r="Q1" s="4"/>
      <c r="R1" s="4"/>
      <c r="S1" s="5"/>
      <c r="T1" s="4"/>
      <c r="U1" s="5"/>
      <c r="V1" s="4"/>
      <c r="W1" s="4"/>
      <c r="X1" s="4"/>
      <c r="Y1" s="6"/>
      <c r="Z1" s="6"/>
      <c r="AA1" s="7"/>
      <c r="AB1" s="8"/>
      <c r="AC1" s="8"/>
      <c r="AD1" s="8"/>
      <c r="AE1" s="8"/>
      <c r="AF1" s="7"/>
      <c r="AG1" s="7"/>
      <c r="AH1" s="7"/>
      <c r="AI1" s="7"/>
      <c r="AJ1" s="7"/>
      <c r="AK1" s="7"/>
      <c r="AL1" s="7"/>
      <c r="AM1" s="8"/>
      <c r="AN1" s="8"/>
      <c r="AO1" s="8"/>
      <c r="AP1" s="8"/>
      <c r="AQ1" s="8"/>
      <c r="AR1" s="8"/>
      <c r="AS1" s="8"/>
      <c r="AT1" s="8"/>
      <c r="AU1" s="9" t="s">
        <v>1</v>
      </c>
      <c r="AV1" s="8"/>
      <c r="AW1" s="8"/>
      <c r="AX1" s="8"/>
    </row>
    <row r="2" ht="15.75" customHeight="1">
      <c r="A2" s="1"/>
      <c r="B2" s="10" t="s">
        <v>2</v>
      </c>
      <c r="C2" s="11"/>
      <c r="D2" s="11"/>
      <c r="E2" s="11"/>
      <c r="F2" s="11"/>
      <c r="G2" s="12"/>
      <c r="H2" s="10" t="s">
        <v>3</v>
      </c>
      <c r="I2" s="11"/>
      <c r="J2" s="11"/>
      <c r="K2" s="11"/>
      <c r="L2" s="11"/>
      <c r="M2" s="12"/>
      <c r="N2" s="4"/>
      <c r="O2" s="13"/>
      <c r="P2" s="14"/>
      <c r="Q2" s="14"/>
      <c r="R2" s="14"/>
      <c r="S2" s="14"/>
      <c r="T2" s="14"/>
      <c r="U2" s="14"/>
      <c r="V2" s="14"/>
      <c r="W2" s="15"/>
      <c r="X2" s="4"/>
      <c r="Y2" s="6"/>
      <c r="Z2" s="6"/>
      <c r="AA2" s="7"/>
      <c r="AB2" s="8"/>
      <c r="AC2" s="8"/>
      <c r="AD2" s="8"/>
      <c r="AE2" s="8"/>
      <c r="AF2" s="7"/>
      <c r="AG2" s="7"/>
      <c r="AH2" s="7"/>
      <c r="AI2" s="7"/>
      <c r="AJ2" s="7"/>
      <c r="AK2" s="7"/>
      <c r="AL2" s="7"/>
      <c r="AM2" s="8"/>
      <c r="AN2" s="8"/>
      <c r="AO2" s="8"/>
      <c r="AP2" s="8"/>
      <c r="AQ2" s="8"/>
      <c r="AR2" s="8"/>
      <c r="AS2" s="8"/>
      <c r="AT2" s="8"/>
      <c r="AU2" s="9" t="s">
        <v>4</v>
      </c>
      <c r="AV2" s="8"/>
      <c r="AW2" s="8"/>
      <c r="AX2" s="8" t="s">
        <v>4</v>
      </c>
    </row>
    <row r="3" ht="15.75" customHeight="1">
      <c r="A3" s="16"/>
      <c r="B3" s="17" t="s">
        <v>5</v>
      </c>
      <c r="C3" s="18"/>
      <c r="D3" s="18"/>
      <c r="E3" s="19"/>
      <c r="F3" s="20">
        <v>45983.0</v>
      </c>
      <c r="G3" s="21"/>
      <c r="H3" s="22" t="str">
        <f>IF(B9="","","Today's Date is:")</f>
        <v>Today's Date is:</v>
      </c>
      <c r="I3" s="18"/>
      <c r="J3" s="18"/>
      <c r="K3" s="18"/>
      <c r="L3" s="23">
        <f>IF(H3="","",TODAY())</f>
        <v>46032</v>
      </c>
      <c r="M3" s="24"/>
      <c r="N3" s="4"/>
      <c r="O3" s="25"/>
      <c r="P3" s="26"/>
      <c r="Q3" s="26"/>
      <c r="R3" s="26"/>
      <c r="S3" s="26"/>
      <c r="T3" s="26"/>
      <c r="U3" s="26"/>
      <c r="V3" s="26"/>
      <c r="W3" s="27"/>
      <c r="X3" s="4"/>
      <c r="Y3" s="6"/>
      <c r="Z3" s="6"/>
      <c r="AA3" s="7" t="s">
        <v>6</v>
      </c>
      <c r="AB3" s="8"/>
      <c r="AC3" s="8"/>
      <c r="AD3" s="8"/>
      <c r="AE3" s="8"/>
      <c r="AF3" s="7"/>
      <c r="AG3" s="7"/>
      <c r="AH3" s="7"/>
      <c r="AI3" s="7"/>
      <c r="AJ3" s="7"/>
      <c r="AK3" s="7"/>
      <c r="AL3" s="7"/>
      <c r="AM3" s="8"/>
      <c r="AN3" s="8"/>
      <c r="AO3" s="8"/>
      <c r="AP3" s="8"/>
      <c r="AQ3" s="8" t="s">
        <v>7</v>
      </c>
      <c r="AR3" s="8" t="s">
        <v>7</v>
      </c>
      <c r="AS3" s="8"/>
      <c r="AT3" s="8"/>
      <c r="AU3" s="8" t="s">
        <v>8</v>
      </c>
      <c r="AV3" s="8"/>
      <c r="AW3" s="8"/>
      <c r="AX3" s="8" t="s">
        <v>8</v>
      </c>
    </row>
    <row r="4">
      <c r="A4" s="16"/>
      <c r="B4" s="28" t="str">
        <f>IF(F3="","","Weights in Lb or Kg?")</f>
        <v>Weights in Lb or Kg?</v>
      </c>
      <c r="C4" s="29"/>
      <c r="D4" s="29"/>
      <c r="E4" s="30"/>
      <c r="F4" s="31" t="s">
        <v>9</v>
      </c>
      <c r="G4" s="32"/>
      <c r="H4" s="28" t="str">
        <f>IF(F6="","","Your Current Weight is:")</f>
        <v>Your Current Weight is:</v>
      </c>
      <c r="I4" s="29"/>
      <c r="J4" s="29"/>
      <c r="K4" s="29"/>
      <c r="L4" s="33">
        <f>IF(F6="","",IF(AC124="",F6,AC124))</f>
        <v>77</v>
      </c>
      <c r="M4" s="34" t="str">
        <f>IF(L4="","",IF(F4="Lb","Lb",IF(F4="Kg","Kg","")))</f>
        <v>Kg</v>
      </c>
      <c r="N4" s="35"/>
      <c r="O4" s="36"/>
      <c r="W4" s="37"/>
      <c r="X4" s="35"/>
      <c r="Y4" s="8"/>
      <c r="Z4" s="8"/>
      <c r="AA4" s="8">
        <f>CEILING((((F7-L4)/F8)),0.5)</f>
        <v>0</v>
      </c>
      <c r="AB4" s="8"/>
      <c r="AC4" s="8"/>
      <c r="AD4" s="8"/>
      <c r="AE4" s="8"/>
      <c r="AF4" s="7"/>
      <c r="AG4" s="7"/>
      <c r="AH4" s="7"/>
      <c r="AI4" s="7"/>
      <c r="AJ4" s="7"/>
      <c r="AK4" s="7"/>
      <c r="AL4" s="7"/>
      <c r="AM4" s="8"/>
      <c r="AN4" s="8"/>
      <c r="AO4" s="8"/>
      <c r="AP4" s="8"/>
      <c r="AQ4" s="8">
        <f t="shared" ref="AQ4:AR4" si="1">IF($F$4="Lb",1,2)</f>
        <v>2</v>
      </c>
      <c r="AR4" s="8">
        <f t="shared" si="1"/>
        <v>2</v>
      </c>
      <c r="AS4" s="8"/>
      <c r="AT4" s="8"/>
      <c r="AU4" s="8" t="s">
        <v>10</v>
      </c>
      <c r="AV4" s="8"/>
      <c r="AW4" s="8"/>
      <c r="AX4" s="8" t="s">
        <v>11</v>
      </c>
    </row>
    <row r="5">
      <c r="A5" s="16"/>
      <c r="B5" s="28" t="str">
        <f>IF(F4=" - Choose - ","","Calories or KiloJoules?")</f>
        <v>Calories or KiloJoules?</v>
      </c>
      <c r="C5" s="29"/>
      <c r="D5" s="29"/>
      <c r="E5" s="30"/>
      <c r="F5" s="38" t="s">
        <v>11</v>
      </c>
      <c r="G5" s="39"/>
      <c r="H5" s="28" t="str">
        <f>IF(L4="","",IF(L4=F6,"Your weight hasn’t changed.",IF(L4&gt;F6,"You've Gained","You've Lost")))</f>
        <v>You've Lost</v>
      </c>
      <c r="I5" s="29"/>
      <c r="J5" s="29"/>
      <c r="K5" s="29"/>
      <c r="L5" s="33">
        <f>IF(L4="","",IF(F6=L4,"",IF(F6&lt;L4,L4-F6,F6-L4)))</f>
        <v>5.8</v>
      </c>
      <c r="M5" s="34" t="str">
        <f>IF(L5="","",IF(H5="","",IF(F4="Lb","Lb",IF(F4="Kg","Kg",""))))</f>
        <v>Kg</v>
      </c>
      <c r="N5" s="35"/>
      <c r="O5" s="25"/>
      <c r="P5" s="26"/>
      <c r="Q5" s="26"/>
      <c r="R5" s="26"/>
      <c r="S5" s="26"/>
      <c r="T5" s="26"/>
      <c r="U5" s="26"/>
      <c r="V5" s="26"/>
      <c r="W5" s="40"/>
      <c r="X5" s="35"/>
      <c r="Y5" s="8"/>
      <c r="Z5" s="8"/>
      <c r="AA5" s="8">
        <f>CEILING((((L4-F7)/F8)),0.5)</f>
        <v>0</v>
      </c>
      <c r="AB5" s="8"/>
      <c r="AC5" s="8"/>
      <c r="AD5" s="8">
        <f>MROUND(F6*AR7,5)</f>
        <v>2375</v>
      </c>
      <c r="AE5" s="8"/>
      <c r="AF5" s="7"/>
      <c r="AG5" s="7"/>
      <c r="AH5" s="7"/>
      <c r="AI5" s="7"/>
      <c r="AJ5" s="7"/>
      <c r="AK5" s="7"/>
      <c r="AL5" s="7"/>
      <c r="AM5" s="8"/>
      <c r="AN5" s="8"/>
      <c r="AO5" s="8"/>
      <c r="AP5" s="8"/>
      <c r="AQ5" s="8">
        <f t="shared" ref="AQ5:AR5" si="2">IF($F$5="Cal.",3,5)</f>
        <v>3</v>
      </c>
      <c r="AR5" s="8">
        <f t="shared" si="2"/>
        <v>3</v>
      </c>
      <c r="AS5" s="41"/>
      <c r="AT5" s="41"/>
      <c r="AU5" s="8" t="s">
        <v>9</v>
      </c>
      <c r="AV5" s="8"/>
      <c r="AW5" s="8"/>
      <c r="AX5" s="8" t="s">
        <v>12</v>
      </c>
    </row>
    <row r="6">
      <c r="A6" s="16"/>
      <c r="B6" s="28" t="str">
        <f>IF(F5=" - Choose - ","","Starting Weight:")</f>
        <v>Starting Weight:</v>
      </c>
      <c r="C6" s="29"/>
      <c r="D6" s="29"/>
      <c r="E6" s="30"/>
      <c r="F6" s="42">
        <v>82.8</v>
      </c>
      <c r="G6" s="34" t="str">
        <f>IF(B5="","",IF(F4="Lb","Lb",IF(F4="Kg","Kg","")))</f>
        <v>Kg</v>
      </c>
      <c r="H6" s="28" t="str">
        <f>IF(H5="","","Your Current TDEE is:")</f>
        <v>Your Current TDEE is:</v>
      </c>
      <c r="I6" s="29"/>
      <c r="J6" s="29"/>
      <c r="K6" s="29"/>
      <c r="L6" s="43">
        <f>IFERROR(MROUND(LOOKUP(9.99E+307, BB12:BB300), 10), "")</f>
        <v>3000</v>
      </c>
      <c r="M6" s="34" t="str">
        <f>IF(H6="","",IF(F5="Cal.","Cal/Day",IF(F5="Kj","Kj/Day")))</f>
        <v>Cal/Day</v>
      </c>
      <c r="N6" s="35"/>
      <c r="O6" s="36"/>
      <c r="W6" s="37"/>
      <c r="X6" s="35"/>
      <c r="Y6" s="8"/>
      <c r="Z6" s="8"/>
      <c r="AA6" s="7"/>
      <c r="AB6" s="8"/>
      <c r="AC6" s="8"/>
      <c r="AD6" s="8"/>
      <c r="AE6" s="8"/>
      <c r="AF6" s="7"/>
      <c r="AG6" s="7"/>
      <c r="AH6" s="7">
        <f>F6</f>
        <v>82.8</v>
      </c>
      <c r="AI6" s="7"/>
      <c r="AJ6" s="7"/>
      <c r="AK6" s="7"/>
      <c r="AL6" s="7"/>
      <c r="AM6" s="8"/>
      <c r="AN6" s="8"/>
      <c r="AO6" s="8"/>
      <c r="AP6" s="8"/>
      <c r="AQ6" s="8">
        <f t="shared" ref="AQ6:AR6" si="3">SUM(AQ4:AQ5)</f>
        <v>5</v>
      </c>
      <c r="AR6" s="8">
        <f t="shared" si="3"/>
        <v>5</v>
      </c>
      <c r="AS6" s="8"/>
      <c r="AT6" s="8"/>
      <c r="AU6" s="8"/>
      <c r="AV6" s="8"/>
      <c r="AW6" s="8"/>
      <c r="AX6" s="8"/>
    </row>
    <row r="7">
      <c r="A7" s="16"/>
      <c r="B7" s="28" t="str">
        <f>IF(F6="","","Goal Weight:")</f>
        <v>Goal Weight:</v>
      </c>
      <c r="C7" s="29"/>
      <c r="D7" s="29"/>
      <c r="E7" s="30"/>
      <c r="F7" s="44">
        <v>77.0</v>
      </c>
      <c r="G7" s="34" t="str">
        <f>IF(F6="","",IF(F4="Lb","Lb",IF(F4="Kg","Kg","")))</f>
        <v>Kg</v>
      </c>
      <c r="H7" s="45" t="str">
        <f>IF(L8="","",IF(H9=0,"Congratulations","To Reach Your Goal weight by"))</f>
        <v>Congratulations</v>
      </c>
      <c r="I7" s="46"/>
      <c r="J7" s="46"/>
      <c r="K7" s="46"/>
      <c r="L7" s="47" t="str">
        <f>IF(L8="","",IF(H9=0,"",L3+(H9*7)))</f>
        <v/>
      </c>
      <c r="M7" s="48"/>
      <c r="N7" s="35"/>
      <c r="O7" s="49"/>
      <c r="P7" s="14"/>
      <c r="Q7" s="14"/>
      <c r="R7" s="14"/>
      <c r="S7" s="14"/>
      <c r="T7" s="14"/>
      <c r="U7" s="14"/>
      <c r="V7" s="14"/>
      <c r="W7" s="50"/>
      <c r="X7" s="35"/>
      <c r="Y7" s="8"/>
      <c r="Z7" s="8"/>
      <c r="AA7" s="7"/>
      <c r="AB7" s="8"/>
      <c r="AC7" s="8"/>
      <c r="AD7" s="8"/>
      <c r="AE7" s="8"/>
      <c r="AF7" s="7"/>
      <c r="AG7" s="7"/>
      <c r="AH7" s="7"/>
      <c r="AI7" s="7"/>
      <c r="AJ7" s="7"/>
      <c r="AK7" s="7"/>
      <c r="AL7" s="7"/>
      <c r="AM7" s="8"/>
      <c r="AN7" s="8"/>
      <c r="AO7" s="8"/>
      <c r="AP7" s="8"/>
      <c r="AQ7" s="8">
        <f>IF(AQ6=4,AQ12,IF(AQ6=5,AR12,IF(AQ6=6,AS12,IF(AQ6=7,AT12,""))))</f>
        <v>7716.17</v>
      </c>
      <c r="AR7" s="8">
        <f>IF(AR6=4,AQ13,IF(AR6=5,AR13,IF(AR6=6,AS13,IF(AR6=7,AT13,""))))</f>
        <v>28.66006</v>
      </c>
      <c r="AS7" s="8"/>
      <c r="AT7" s="8"/>
      <c r="AU7" s="8"/>
      <c r="AV7" s="8"/>
      <c r="AW7" s="8"/>
      <c r="AX7" s="8"/>
    </row>
    <row r="8">
      <c r="A8" s="16"/>
      <c r="B8" s="51" t="str">
        <f>IF(F7="","",IF(F7=F6,"Maintenance",IF(F7&gt;F6,"Target Surplus %:","Target Deficit %:")))
</f>
        <v>Target Deficit %:</v>
      </c>
      <c r="C8" s="29"/>
      <c r="D8" s="29"/>
      <c r="E8" s="29"/>
      <c r="F8" s="52">
        <v>0.3</v>
      </c>
      <c r="G8" s="34"/>
      <c r="H8" s="53" t="str">
        <f>IF(L8="","","You will need to Eat")</f>
        <v>You will need to Eat</v>
      </c>
      <c r="I8" s="54"/>
      <c r="J8" s="54"/>
      <c r="K8" s="54"/>
      <c r="L8" s="55">
        <f>IFERROR(L6 - F9, 2000)</f>
        <v>2100</v>
      </c>
      <c r="M8" s="56" t="str">
        <f>IF(L8="","",IF(F5="Cal.","Cal/Day",IF(F5="Kj","Kj/Day","")))</f>
        <v>Cal/Day</v>
      </c>
      <c r="N8" s="35"/>
      <c r="O8" s="16"/>
      <c r="P8" s="16"/>
      <c r="Q8" s="16"/>
      <c r="R8" s="16"/>
      <c r="S8" s="16"/>
      <c r="T8" s="16"/>
      <c r="U8" s="16"/>
      <c r="V8" s="16"/>
      <c r="W8" s="16"/>
      <c r="X8" s="35"/>
      <c r="Y8" s="8"/>
      <c r="Z8" s="8"/>
      <c r="AA8" s="7"/>
      <c r="AB8" s="8"/>
      <c r="AC8" s="8"/>
      <c r="AD8" s="8"/>
      <c r="AE8" s="8" t="s">
        <v>13</v>
      </c>
      <c r="AF8" s="7"/>
      <c r="AG8" s="7"/>
      <c r="AH8" s="7"/>
      <c r="AI8" s="7"/>
      <c r="AJ8" s="7"/>
      <c r="AK8" s="7"/>
      <c r="AL8" s="7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</row>
    <row r="9">
      <c r="A9" s="16"/>
      <c r="B9" s="57" t="s">
        <v>14</v>
      </c>
      <c r="C9" s="58"/>
      <c r="D9" s="58"/>
      <c r="E9" s="58"/>
      <c r="F9" s="59">
        <f>IFERROR(ROUND(L6*F8, 0), 0)</f>
        <v>900</v>
      </c>
      <c r="G9" s="60" t="str">
        <f>IF(F8="","",IF(F5="Cal.","Cal.",IF(F5="Kj","Kj","")))</f>
        <v>Cal.</v>
      </c>
      <c r="H9" s="61">
        <f>IF(L8="","",IF(F6&lt;F7,AA4,AA5))</f>
        <v>0</v>
      </c>
      <c r="I9" s="62" t="str">
        <f>IF(H3="","","Weeks until you reach your goal weight")</f>
        <v>Weeks until you reach your goal weight</v>
      </c>
      <c r="J9" s="58"/>
      <c r="K9" s="58"/>
      <c r="L9" s="58"/>
      <c r="M9" s="63"/>
      <c r="N9" s="35"/>
      <c r="O9" s="16"/>
      <c r="P9" s="16"/>
      <c r="Q9" s="16"/>
      <c r="R9" s="16"/>
      <c r="S9" s="16"/>
      <c r="T9" s="16"/>
      <c r="U9" s="16"/>
      <c r="V9" s="16"/>
      <c r="W9" s="16"/>
      <c r="X9" s="35"/>
      <c r="Y9" s="8"/>
      <c r="Z9" s="8"/>
      <c r="AA9" s="7"/>
      <c r="AB9" s="8"/>
      <c r="AC9" s="8" t="s">
        <v>15</v>
      </c>
      <c r="AD9" s="8" t="s">
        <v>16</v>
      </c>
      <c r="AE9" s="64">
        <f>IF(AC11&gt;AD11,-F8,F8)</f>
        <v>-0.3</v>
      </c>
      <c r="AF9" s="7"/>
      <c r="AG9" s="7"/>
      <c r="AH9" s="7"/>
      <c r="AI9" s="7"/>
      <c r="AJ9" s="7"/>
      <c r="AK9" s="7"/>
      <c r="AL9" s="7"/>
      <c r="AM9" s="8"/>
      <c r="AN9" s="8"/>
      <c r="AO9" s="8"/>
      <c r="AP9" s="8" t="s">
        <v>17</v>
      </c>
      <c r="AQ9" s="8" t="s">
        <v>18</v>
      </c>
      <c r="AR9" s="8"/>
      <c r="AS9" s="65"/>
      <c r="AT9" s="65"/>
      <c r="AU9" s="8"/>
      <c r="AV9" s="8"/>
      <c r="AW9" s="8"/>
      <c r="AX9" s="8"/>
    </row>
    <row r="10" ht="4.5" customHeight="1">
      <c r="A10" s="16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  <c r="O10" s="4"/>
      <c r="P10" s="4"/>
      <c r="Q10" s="4"/>
      <c r="R10" s="4"/>
      <c r="S10" s="5"/>
      <c r="T10" s="4"/>
      <c r="U10" s="5"/>
      <c r="V10" s="4"/>
      <c r="W10" s="4"/>
      <c r="X10" s="4"/>
      <c r="Y10" s="6"/>
      <c r="Z10" s="6"/>
      <c r="AA10" s="7"/>
      <c r="AB10" s="8"/>
      <c r="AC10" s="8"/>
      <c r="AD10" s="8"/>
      <c r="AE10" s="8"/>
      <c r="AF10" s="7"/>
      <c r="AG10" s="7"/>
      <c r="AH10" s="7"/>
      <c r="AI10" s="7"/>
      <c r="AJ10" s="7"/>
      <c r="AK10" s="7"/>
      <c r="AL10" s="7"/>
      <c r="AM10" s="8"/>
      <c r="AN10" s="8"/>
      <c r="AO10" s="8"/>
      <c r="AP10" s="8"/>
      <c r="AQ10" s="8"/>
      <c r="AR10" s="8"/>
      <c r="AS10" s="65"/>
      <c r="AT10" s="66"/>
      <c r="AU10" s="8"/>
      <c r="AV10" s="8"/>
      <c r="AW10" s="8"/>
      <c r="AX10" s="8"/>
    </row>
    <row r="11">
      <c r="A11" s="16"/>
      <c r="B11" s="67" t="s">
        <v>19</v>
      </c>
      <c r="C11" s="68" t="s">
        <v>20</v>
      </c>
      <c r="D11" s="68" t="s">
        <v>21</v>
      </c>
      <c r="E11" s="68" t="s">
        <v>22</v>
      </c>
      <c r="F11" s="68" t="s">
        <v>23</v>
      </c>
      <c r="G11" s="68" t="s">
        <v>24</v>
      </c>
      <c r="H11" s="68" t="s">
        <v>25</v>
      </c>
      <c r="I11" s="68" t="s">
        <v>26</v>
      </c>
      <c r="J11" s="68" t="s">
        <v>27</v>
      </c>
      <c r="K11" s="68" t="s">
        <v>28</v>
      </c>
      <c r="L11" s="69" t="s">
        <v>29</v>
      </c>
      <c r="M11" s="70" t="s">
        <v>30</v>
      </c>
      <c r="N11" s="4"/>
      <c r="O11" s="4"/>
      <c r="P11" s="4"/>
      <c r="Q11" s="4"/>
      <c r="R11" s="4"/>
      <c r="S11" s="5"/>
      <c r="T11" s="4"/>
      <c r="U11" s="5"/>
      <c r="V11" s="4"/>
      <c r="W11" s="4"/>
      <c r="X11" s="4"/>
      <c r="Y11" s="6"/>
      <c r="Z11" s="6"/>
      <c r="AA11" s="7"/>
      <c r="AB11" s="8" t="s">
        <v>31</v>
      </c>
      <c r="AC11" s="8">
        <f>F6</f>
        <v>82.8</v>
      </c>
      <c r="AD11" s="8">
        <f>F7</f>
        <v>77</v>
      </c>
      <c r="AE11" s="7">
        <f>IF(F8="","",AC12)</f>
        <v>81.9</v>
      </c>
      <c r="AF11" s="7"/>
      <c r="AG11" s="7"/>
      <c r="AH11" s="7"/>
      <c r="AI11" s="7"/>
      <c r="AJ11" s="7"/>
      <c r="AK11" s="7"/>
      <c r="AL11" s="7"/>
      <c r="AM11" s="8"/>
      <c r="AN11" s="8"/>
      <c r="AO11" s="8"/>
      <c r="AP11" s="8"/>
      <c r="AQ11" s="8" t="s">
        <v>32</v>
      </c>
      <c r="AR11" s="8" t="s">
        <v>33</v>
      </c>
      <c r="AS11" s="8" t="s">
        <v>34</v>
      </c>
      <c r="AT11" s="8" t="s">
        <v>35</v>
      </c>
      <c r="AU11" s="8"/>
      <c r="AV11" s="8"/>
      <c r="AW11" s="8"/>
      <c r="AX11" s="8"/>
      <c r="BA11" s="71" t="s">
        <v>36</v>
      </c>
      <c r="BB11" s="71" t="s">
        <v>37</v>
      </c>
      <c r="BC11" s="71" t="s">
        <v>38</v>
      </c>
    </row>
    <row r="12">
      <c r="A12" s="16"/>
      <c r="B12" s="72">
        <f>IF(F3="","",F3)</f>
        <v>45983</v>
      </c>
      <c r="C12" s="69" t="str">
        <f>IF(F4=" - Choose - ", "","Weight")</f>
        <v>Weight</v>
      </c>
      <c r="D12" s="73">
        <v>82.0</v>
      </c>
      <c r="E12" s="74">
        <v>82.6</v>
      </c>
      <c r="F12" s="74">
        <v>83.6</v>
      </c>
      <c r="G12" s="74">
        <v>81.6</v>
      </c>
      <c r="H12" s="74">
        <v>81.4</v>
      </c>
      <c r="I12" s="74">
        <v>81.0</v>
      </c>
      <c r="J12" s="75">
        <v>81.1</v>
      </c>
      <c r="K12" s="76">
        <f t="shared" ref="K12:K123" si="6">IF(AB12=0,"",AM12)</f>
        <v>81.9</v>
      </c>
      <c r="L12" s="77">
        <f>IF(K12="","",AN12)</f>
        <v>-0.9</v>
      </c>
      <c r="M12" s="78">
        <f>IF(BB12="","", MROUND(BB12, 10))</f>
        <v>2640</v>
      </c>
      <c r="N12" s="79"/>
      <c r="O12" s="79"/>
      <c r="P12" s="79"/>
      <c r="Q12" s="79"/>
      <c r="R12" s="79"/>
      <c r="S12" s="50"/>
      <c r="T12" s="79"/>
      <c r="U12" s="50"/>
      <c r="V12" s="79"/>
      <c r="W12" s="79"/>
      <c r="X12" s="79"/>
      <c r="Y12" s="80"/>
      <c r="Z12" s="80"/>
      <c r="AA12" s="81">
        <v>1.0</v>
      </c>
      <c r="AB12" s="8">
        <f t="shared" ref="AB12:AB123" si="7">COUNT(AF12:AL12)</f>
        <v>7</v>
      </c>
      <c r="AC12" s="7">
        <f>IF(AM12="",AC11,K12)</f>
        <v>81.9</v>
      </c>
      <c r="AD12" s="8">
        <f>AD11</f>
        <v>77</v>
      </c>
      <c r="AE12" s="64">
        <f>IF(F8="","",IF($F$6&gt;$F$7,IF(AC11&gt;AD12,AC11+$AE$9,AD12),IF($F$6&lt;$F$7,IF(AC11&lt;AD12,AC11+AE9,AD12),AD12)))</f>
        <v>82.5</v>
      </c>
      <c r="AF12" s="7">
        <f>IF(COUNT(D12:J12)&lt;1,"",IF(D12="",AH6,D12))</f>
        <v>82</v>
      </c>
      <c r="AG12" s="7">
        <f t="shared" ref="AG12:AL12" si="4">IF(E12="",AF12,E12)</f>
        <v>82.6</v>
      </c>
      <c r="AH12" s="7">
        <f t="shared" si="4"/>
        <v>83.6</v>
      </c>
      <c r="AI12" s="7">
        <f t="shared" si="4"/>
        <v>81.6</v>
      </c>
      <c r="AJ12" s="7">
        <f t="shared" si="4"/>
        <v>81.4</v>
      </c>
      <c r="AK12" s="7">
        <f t="shared" si="4"/>
        <v>81</v>
      </c>
      <c r="AL12" s="7">
        <f t="shared" si="4"/>
        <v>81.1</v>
      </c>
      <c r="AM12" s="82">
        <f t="shared" ref="AM12:AM123" si="10">IF(AB12=0,"",SUM(AF12:AL12)/AB12)</f>
        <v>81.9</v>
      </c>
      <c r="AN12" s="83">
        <f>IF(AM12="","",AM12-AH6)</f>
        <v>-0.9</v>
      </c>
      <c r="AO12" s="84">
        <f>IF(AP12="","",IF(AN12="","",MROUND(AP12,5)))</f>
        <v>2635</v>
      </c>
      <c r="AP12" s="85">
        <f>IF(AB12=0,$AD$5,IF(AB13=0,$AD$5,AM13+(((-AN12)*$AQ$7)/AB13)))</f>
        <v>2635.079</v>
      </c>
      <c r="AQ12" s="8">
        <v>3500.0</v>
      </c>
      <c r="AR12" s="8">
        <f t="shared" ref="AR12:AR13" si="11">AQ12*2.20462</f>
        <v>7716.17</v>
      </c>
      <c r="AS12" s="8">
        <f t="shared" ref="AS12:AT12" si="5">AQ12*4.184</f>
        <v>14644</v>
      </c>
      <c r="AT12" s="8">
        <f t="shared" si="5"/>
        <v>32284.45528</v>
      </c>
      <c r="AU12" s="8"/>
      <c r="AV12" s="8"/>
      <c r="AW12" s="8"/>
      <c r="AX12" s="8"/>
      <c r="BA12" s="86">
        <f>IF(ISNUMBER(AM12), AM12, "")</f>
        <v>81.9</v>
      </c>
      <c r="BB12" s="87">
        <f>IF(ISNUMBER(AP12), AP12, "")</f>
        <v>2635.079</v>
      </c>
      <c r="BC12" s="88">
        <f>IF(BB12="","", BB12*0.8)</f>
        <v>2108.0632</v>
      </c>
    </row>
    <row r="13">
      <c r="A13" s="16"/>
      <c r="B13" s="89"/>
      <c r="C13" s="90" t="str">
        <f>IF(F5=" - Choose - ","",F5)</f>
        <v>Cal.</v>
      </c>
      <c r="D13" s="91">
        <v>1724.0</v>
      </c>
      <c r="E13" s="92">
        <v>1711.0</v>
      </c>
      <c r="F13" s="92">
        <v>1541.0</v>
      </c>
      <c r="G13" s="92">
        <v>1675.0</v>
      </c>
      <c r="H13" s="92">
        <v>1600.0</v>
      </c>
      <c r="I13" s="92">
        <v>1600.0</v>
      </c>
      <c r="J13" s="93">
        <v>1650.0</v>
      </c>
      <c r="K13" s="94">
        <f t="shared" si="6"/>
        <v>1643</v>
      </c>
      <c r="L13" s="95"/>
      <c r="M13" s="96"/>
      <c r="N13" s="79"/>
      <c r="O13" s="4"/>
      <c r="P13" s="4"/>
      <c r="Q13" s="4"/>
      <c r="R13" s="4"/>
      <c r="S13" s="5"/>
      <c r="T13" s="4"/>
      <c r="U13" s="5"/>
      <c r="V13" s="4"/>
      <c r="W13" s="4"/>
      <c r="X13" s="4"/>
      <c r="Y13" s="6"/>
      <c r="Z13" s="80"/>
      <c r="AA13" s="81">
        <f>AA12+0.5</f>
        <v>1.5</v>
      </c>
      <c r="AB13" s="8">
        <f t="shared" si="7"/>
        <v>7</v>
      </c>
      <c r="AC13" s="7">
        <f t="shared" ref="AC13:AD13" si="8">AC12</f>
        <v>81.9</v>
      </c>
      <c r="AD13" s="8">
        <f t="shared" si="8"/>
        <v>77</v>
      </c>
      <c r="AE13" s="8">
        <f>IF($AE$9=0,0,(AE12+AE14)/2)</f>
        <v>82.35</v>
      </c>
      <c r="AF13" s="7">
        <f>IF(COUNT(D13:J13)&lt;1,"",IF(D13="",AD5,D13))</f>
        <v>1724</v>
      </c>
      <c r="AG13" s="7">
        <f t="shared" ref="AG13:AL13" si="9">IF(E13="",AF13,E13)</f>
        <v>1711</v>
      </c>
      <c r="AH13" s="7">
        <f t="shared" si="9"/>
        <v>1541</v>
      </c>
      <c r="AI13" s="7">
        <f t="shared" si="9"/>
        <v>1675</v>
      </c>
      <c r="AJ13" s="7">
        <f t="shared" si="9"/>
        <v>1600</v>
      </c>
      <c r="AK13" s="7">
        <f t="shared" si="9"/>
        <v>1600</v>
      </c>
      <c r="AL13" s="7">
        <f t="shared" si="9"/>
        <v>1650</v>
      </c>
      <c r="AM13" s="97">
        <f t="shared" si="10"/>
        <v>1643</v>
      </c>
      <c r="AN13" s="37"/>
      <c r="AO13" s="37"/>
      <c r="AP13" s="8"/>
      <c r="AQ13" s="8">
        <v>13.0</v>
      </c>
      <c r="AR13" s="8">
        <f t="shared" si="11"/>
        <v>28.66006</v>
      </c>
      <c r="AS13" s="8">
        <f t="shared" ref="AS13:AT13" si="12">AQ13*4.184</f>
        <v>54.392</v>
      </c>
      <c r="AT13" s="8">
        <f t="shared" si="12"/>
        <v>119.913691</v>
      </c>
      <c r="AU13" s="8"/>
      <c r="AV13" s="8"/>
      <c r="AW13" s="8"/>
      <c r="AX13" s="8"/>
    </row>
    <row r="14" ht="15.0" customHeight="1">
      <c r="A14" s="16"/>
      <c r="B14" s="98">
        <f>IF(B12="","",B12+7)</f>
        <v>45990</v>
      </c>
      <c r="C14" s="99" t="str">
        <f t="shared" ref="C14:C123" si="14">C12</f>
        <v>Weight</v>
      </c>
      <c r="D14" s="73">
        <v>80.3</v>
      </c>
      <c r="E14" s="74">
        <v>81.5</v>
      </c>
      <c r="F14" s="74">
        <v>81.5</v>
      </c>
      <c r="G14" s="74">
        <v>81.0</v>
      </c>
      <c r="H14" s="74">
        <v>80.3</v>
      </c>
      <c r="I14" s="74">
        <v>79.9</v>
      </c>
      <c r="J14" s="75">
        <v>80.1</v>
      </c>
      <c r="K14" s="100">
        <f t="shared" si="6"/>
        <v>80.65714286</v>
      </c>
      <c r="L14" s="101">
        <f>IF(K14="","",AN14)</f>
        <v>-1.242857143</v>
      </c>
      <c r="M14" s="102">
        <f>IF(BB14="","", MROUND(BB14, 10))</f>
        <v>2730</v>
      </c>
      <c r="N14" s="79"/>
      <c r="O14" s="103" t="str">
        <f>IF(M18="","","From")</f>
        <v>From</v>
      </c>
      <c r="P14" s="104"/>
      <c r="Q14" s="105">
        <f>IF(M18="","",B12)</f>
        <v>45983</v>
      </c>
      <c r="R14" s="104"/>
      <c r="S14" s="104"/>
      <c r="T14" s="106" t="str">
        <f>IF(M18="","","to")</f>
        <v>to</v>
      </c>
      <c r="U14" s="107">
        <f>IF(M18="","",B18)</f>
        <v>46004</v>
      </c>
      <c r="V14" s="104"/>
      <c r="W14" s="104"/>
      <c r="X14" s="108"/>
      <c r="Y14" s="109"/>
      <c r="Z14" s="80"/>
      <c r="AA14" s="81">
        <f>AA12+1</f>
        <v>2</v>
      </c>
      <c r="AB14" s="8">
        <f t="shared" si="7"/>
        <v>7</v>
      </c>
      <c r="AC14" s="7">
        <f>IF(K14="",AC12,K14)</f>
        <v>80.65714286</v>
      </c>
      <c r="AD14" s="8">
        <f>AD13</f>
        <v>77</v>
      </c>
      <c r="AE14" s="64">
        <f>IF($F$6&gt;$F$7,IF(AE12&gt;AD14,AE12+$AE$9,AD14),IF($F$6&lt;$F$7,IF(AE12&lt;AD14,AE12+$AE$9,AD14),AD14))</f>
        <v>82.2</v>
      </c>
      <c r="AF14" s="7">
        <f t="shared" ref="AF14:AF123" si="16">IF(COUNT(D14:J14)&lt;1,"",IF(D14="",AM12,D14))</f>
        <v>80.3</v>
      </c>
      <c r="AG14" s="7">
        <f t="shared" ref="AG14:AL14" si="13">IF(E14="",AF14,E14)</f>
        <v>81.5</v>
      </c>
      <c r="AH14" s="7">
        <f t="shared" si="13"/>
        <v>81.5</v>
      </c>
      <c r="AI14" s="7">
        <f t="shared" si="13"/>
        <v>81</v>
      </c>
      <c r="AJ14" s="7">
        <f t="shared" si="13"/>
        <v>80.3</v>
      </c>
      <c r="AK14" s="7">
        <f t="shared" si="13"/>
        <v>79.9</v>
      </c>
      <c r="AL14" s="7">
        <f t="shared" si="13"/>
        <v>80.1</v>
      </c>
      <c r="AM14" s="82">
        <f t="shared" si="10"/>
        <v>80.65714286</v>
      </c>
      <c r="AN14" s="83">
        <f>IF(AM14="","",AM14-AM12)</f>
        <v>-1.242857143</v>
      </c>
      <c r="AO14" s="84">
        <f>IF(AP14="","",IF(AN14="","",MROUND(AP14,5)))</f>
        <v>2945</v>
      </c>
      <c r="AP14" s="85">
        <f>IF(AB15=0,$AP$12,IF(AB14=0,$AP$12,((K15+(((-L14)*$AQ$7)/AB15)))+M12)/2)</f>
        <v>2946.4355</v>
      </c>
      <c r="AQ14" s="8"/>
      <c r="AR14" s="8"/>
      <c r="AS14" s="8"/>
      <c r="AT14" s="8"/>
      <c r="AU14" s="8"/>
      <c r="AV14" s="8"/>
      <c r="AW14" s="8"/>
      <c r="AX14" s="8"/>
      <c r="BA14" s="88">
        <f>IF(AM14="", BA12, (AM14*0.3) + (BA12*0.7))</f>
        <v>81.52714286</v>
      </c>
      <c r="BB14" s="88">
        <f>IF(AP14="", BB12, (AP14*0.3) + (BB12*0.7))</f>
        <v>2728.48595</v>
      </c>
      <c r="BC14" s="88">
        <f>IF(BB14="","", BB14*0.8)</f>
        <v>2182.78876</v>
      </c>
    </row>
    <row r="15">
      <c r="A15" s="16"/>
      <c r="B15" s="110"/>
      <c r="C15" s="111" t="str">
        <f t="shared" si="14"/>
        <v>Cal.</v>
      </c>
      <c r="D15" s="91">
        <v>3450.0</v>
      </c>
      <c r="E15" s="92">
        <v>1700.0</v>
      </c>
      <c r="F15" s="92">
        <v>1600.0</v>
      </c>
      <c r="G15" s="92">
        <v>1700.0</v>
      </c>
      <c r="H15" s="92">
        <v>1570.0</v>
      </c>
      <c r="I15" s="92">
        <v>1600.0</v>
      </c>
      <c r="J15" s="93">
        <v>1560.0</v>
      </c>
      <c r="K15" s="94">
        <f t="shared" si="6"/>
        <v>1882.857143</v>
      </c>
      <c r="L15" s="95"/>
      <c r="M15" s="96"/>
      <c r="N15" s="79"/>
      <c r="O15" s="112"/>
      <c r="Q15" s="36"/>
      <c r="T15" s="37"/>
      <c r="U15" s="36"/>
      <c r="X15" s="113"/>
      <c r="Y15" s="109"/>
      <c r="Z15" s="80"/>
      <c r="AA15" s="81">
        <f>AA14+0.5</f>
        <v>2.5</v>
      </c>
      <c r="AB15" s="8">
        <f t="shared" si="7"/>
        <v>7</v>
      </c>
      <c r="AC15" s="7">
        <f t="shared" ref="AC15:AD15" si="15">AC14</f>
        <v>80.65714286</v>
      </c>
      <c r="AD15" s="8">
        <f t="shared" si="15"/>
        <v>77</v>
      </c>
      <c r="AE15" s="8">
        <f>IF($AE$9=0,0,(AE14+AE16)/2)</f>
        <v>82.05</v>
      </c>
      <c r="AF15" s="7">
        <f t="shared" si="16"/>
        <v>3450</v>
      </c>
      <c r="AG15" s="7">
        <f t="shared" ref="AG15:AL15" si="17">IF(E15="",AF15,E15)</f>
        <v>1700</v>
      </c>
      <c r="AH15" s="7">
        <f t="shared" si="17"/>
        <v>1600</v>
      </c>
      <c r="AI15" s="7">
        <f t="shared" si="17"/>
        <v>1700</v>
      </c>
      <c r="AJ15" s="7">
        <f t="shared" si="17"/>
        <v>1570</v>
      </c>
      <c r="AK15" s="7">
        <f t="shared" si="17"/>
        <v>1600</v>
      </c>
      <c r="AL15" s="7">
        <f t="shared" si="17"/>
        <v>1560</v>
      </c>
      <c r="AM15" s="97">
        <f t="shared" si="10"/>
        <v>1882.857143</v>
      </c>
      <c r="AN15" s="37"/>
      <c r="AO15" s="37"/>
      <c r="AP15" s="8"/>
      <c r="AQ15" s="8"/>
      <c r="AR15" s="8"/>
      <c r="AS15" s="8"/>
      <c r="AT15" s="8"/>
      <c r="AU15" s="8"/>
      <c r="AV15" s="8"/>
      <c r="AW15" s="8"/>
      <c r="AX15" s="8"/>
    </row>
    <row r="16">
      <c r="A16" s="16"/>
      <c r="B16" s="98">
        <f>IF(B14="","",B14+7)</f>
        <v>45997</v>
      </c>
      <c r="C16" s="99" t="str">
        <f t="shared" si="14"/>
        <v>Weight</v>
      </c>
      <c r="D16" s="73">
        <v>80.2</v>
      </c>
      <c r="E16" s="74">
        <v>80.0</v>
      </c>
      <c r="F16" s="74">
        <v>81.7</v>
      </c>
      <c r="G16" s="74">
        <v>81.2</v>
      </c>
      <c r="H16" s="74">
        <v>80.8</v>
      </c>
      <c r="I16" s="74">
        <v>80.2</v>
      </c>
      <c r="J16" s="75">
        <v>79.5</v>
      </c>
      <c r="K16" s="100">
        <f t="shared" si="6"/>
        <v>80.51428571</v>
      </c>
      <c r="L16" s="101">
        <f>IF(K16="","",AN16)</f>
        <v>-0.1428571429</v>
      </c>
      <c r="M16" s="102">
        <f>IF(BB16="","", MROUND(BB16, 10))</f>
        <v>2670</v>
      </c>
      <c r="N16" s="79"/>
      <c r="O16" s="114" t="str">
        <f>IF(M18="","",IF(K18=F6,"No Weight Change",IF(K18&gt;F6,"You Gained:","You Lost:")))</f>
        <v>You Lost:</v>
      </c>
      <c r="P16" s="14"/>
      <c r="Q16" s="14"/>
      <c r="R16" s="14"/>
      <c r="S16" s="14"/>
      <c r="T16" s="14"/>
      <c r="U16" s="115">
        <f>IF(M18="","",IF(K18=F6,"",IF(K18&gt;F6,K18-F6,F6-K18)))</f>
        <v>4.128571429</v>
      </c>
      <c r="V16" s="116" t="str">
        <f>IF(O16="","",IF(O16="No Weight Change","",IF(F4="Lb","Lb",IF(F4="Kg","Kg",""))))</f>
        <v>Kg</v>
      </c>
      <c r="W16" s="14"/>
      <c r="X16" s="117"/>
      <c r="Y16" s="109"/>
      <c r="Z16" s="80"/>
      <c r="AA16" s="81">
        <f>AA14+1</f>
        <v>3</v>
      </c>
      <c r="AB16" s="8">
        <f t="shared" si="7"/>
        <v>7</v>
      </c>
      <c r="AC16" s="7">
        <f>IF(K16="",AC14,K16)</f>
        <v>80.51428571</v>
      </c>
      <c r="AD16" s="8">
        <f>AD15</f>
        <v>77</v>
      </c>
      <c r="AE16" s="64">
        <f>IF($F$6&gt;$F$7,IF(AE14&gt;AD16,AE14+$AE$9,AD16),IF($F$6&lt;$F$7,IF(AE14&lt;AD16,AE14+$AE$9,AD16),AD16))</f>
        <v>81.9</v>
      </c>
      <c r="AF16" s="7">
        <f t="shared" si="16"/>
        <v>80.2</v>
      </c>
      <c r="AG16" s="7">
        <f t="shared" ref="AG16:AL16" si="18">IF(E16="",AF16,E16)</f>
        <v>80</v>
      </c>
      <c r="AH16" s="7">
        <f t="shared" si="18"/>
        <v>81.7</v>
      </c>
      <c r="AI16" s="7">
        <f t="shared" si="18"/>
        <v>81.2</v>
      </c>
      <c r="AJ16" s="7">
        <f t="shared" si="18"/>
        <v>80.8</v>
      </c>
      <c r="AK16" s="7">
        <f t="shared" si="18"/>
        <v>80.2</v>
      </c>
      <c r="AL16" s="7">
        <f t="shared" si="18"/>
        <v>79.5</v>
      </c>
      <c r="AM16" s="82">
        <f t="shared" si="10"/>
        <v>80.51428571</v>
      </c>
      <c r="AN16" s="83">
        <f>IF(AM16="","",AM16-AM14)</f>
        <v>-0.1428571429</v>
      </c>
      <c r="AO16" s="84">
        <f>IF(AP16="","",IF(AN16="","",MROUND(AP16,5)))</f>
        <v>2525</v>
      </c>
      <c r="AP16" s="85">
        <f>IF(AB17=0,$AP14,IF(AB16=0,$AP14,((K17+(((-L16)*$AQ$7)/AB17)))+M14+M12)/3)</f>
        <v>2523.443333</v>
      </c>
      <c r="AQ16" s="8"/>
      <c r="AR16" s="8"/>
      <c r="AS16" s="8"/>
      <c r="AT16" s="8"/>
      <c r="AU16" s="8"/>
      <c r="AV16" s="8"/>
      <c r="AW16" s="8"/>
      <c r="AX16" s="8"/>
      <c r="BA16" s="88">
        <f>IF(AM16="", BA14, (AM16*0.3) + (BA14*0.7))</f>
        <v>81.22328571</v>
      </c>
      <c r="BB16" s="88">
        <f>IF(AP16="", BB14, (AP16*0.3) + (BB14*0.7))</f>
        <v>2666.973165</v>
      </c>
      <c r="BC16" s="88">
        <f>IF(BB16="","", BB16*0.8)</f>
        <v>2133.578532</v>
      </c>
    </row>
    <row r="17">
      <c r="A17" s="16"/>
      <c r="B17" s="110"/>
      <c r="C17" s="111" t="str">
        <f t="shared" si="14"/>
        <v>Cal.</v>
      </c>
      <c r="D17" s="91">
        <v>1600.0</v>
      </c>
      <c r="E17" s="92">
        <v>4200.0</v>
      </c>
      <c r="F17" s="92">
        <v>1600.0</v>
      </c>
      <c r="G17" s="92">
        <v>1600.0</v>
      </c>
      <c r="H17" s="92">
        <v>1500.0</v>
      </c>
      <c r="I17" s="92">
        <v>1500.0</v>
      </c>
      <c r="J17" s="93">
        <v>2300.0</v>
      </c>
      <c r="K17" s="94">
        <f t="shared" si="6"/>
        <v>2042.857143</v>
      </c>
      <c r="L17" s="95"/>
      <c r="M17" s="96"/>
      <c r="N17" s="79"/>
      <c r="O17" s="118" t="str">
        <f>IF(M18="","",IF(K18=F6,"","At a Rate Of"))</f>
        <v>At a Rate Of</v>
      </c>
      <c r="P17" s="14"/>
      <c r="Q17" s="14"/>
      <c r="R17" s="14"/>
      <c r="S17" s="14"/>
      <c r="T17" s="119">
        <f>IF(O17="","",U16/4)</f>
        <v>1.032142857</v>
      </c>
      <c r="U17" s="14"/>
      <c r="V17" s="120" t="str">
        <f>IF(O16="","",IF(O16="No Weight Change","",IF(F4="Lb","Lb/Wk",IF(F4="Kg","Kg/Wk",""))))</f>
        <v>Kg/Wk</v>
      </c>
      <c r="W17" s="14"/>
      <c r="X17" s="117"/>
      <c r="Y17" s="109"/>
      <c r="Z17" s="80"/>
      <c r="AA17" s="81">
        <f>AA16+0.5</f>
        <v>3.5</v>
      </c>
      <c r="AB17" s="8">
        <f t="shared" si="7"/>
        <v>7</v>
      </c>
      <c r="AC17" s="7">
        <f t="shared" ref="AC17:AD17" si="19">AC16</f>
        <v>80.51428571</v>
      </c>
      <c r="AD17" s="8">
        <f t="shared" si="19"/>
        <v>77</v>
      </c>
      <c r="AE17" s="8">
        <f>IF($AE$9=0,0,(AE16+AE18)/2)</f>
        <v>81.75</v>
      </c>
      <c r="AF17" s="7">
        <f t="shared" si="16"/>
        <v>1600</v>
      </c>
      <c r="AG17" s="7">
        <f t="shared" ref="AG17:AL17" si="20">IF(E17="",AF17,E17)</f>
        <v>4200</v>
      </c>
      <c r="AH17" s="7">
        <f t="shared" si="20"/>
        <v>1600</v>
      </c>
      <c r="AI17" s="7">
        <f t="shared" si="20"/>
        <v>1600</v>
      </c>
      <c r="AJ17" s="7">
        <f t="shared" si="20"/>
        <v>1500</v>
      </c>
      <c r="AK17" s="7">
        <f t="shared" si="20"/>
        <v>1500</v>
      </c>
      <c r="AL17" s="7">
        <f t="shared" si="20"/>
        <v>2300</v>
      </c>
      <c r="AM17" s="97">
        <f t="shared" si="10"/>
        <v>2042.857143</v>
      </c>
      <c r="AN17" s="37"/>
      <c r="AO17" s="37"/>
      <c r="AP17" s="8"/>
      <c r="AQ17" s="8"/>
      <c r="AR17" s="8"/>
      <c r="AS17" s="8"/>
      <c r="AT17" s="8"/>
      <c r="AU17" s="8"/>
      <c r="AV17" s="8"/>
      <c r="AW17" s="8"/>
      <c r="AX17" s="8"/>
    </row>
    <row r="18">
      <c r="A18" s="16"/>
      <c r="B18" s="98">
        <f>IF(B16="","",B16+7)</f>
        <v>46004</v>
      </c>
      <c r="C18" s="99" t="str">
        <f t="shared" si="14"/>
        <v>Weight</v>
      </c>
      <c r="D18" s="73">
        <v>80.5</v>
      </c>
      <c r="E18" s="74">
        <v>79.9</v>
      </c>
      <c r="F18" s="74">
        <v>79.2</v>
      </c>
      <c r="G18" s="74">
        <v>78.6</v>
      </c>
      <c r="H18" s="74">
        <v>78.0</v>
      </c>
      <c r="I18" s="74">
        <v>77.5</v>
      </c>
      <c r="J18" s="75">
        <v>77.0</v>
      </c>
      <c r="K18" s="100">
        <f t="shared" si="6"/>
        <v>78.67142857</v>
      </c>
      <c r="L18" s="101">
        <f>IF(K18="","",AN18)</f>
        <v>-1.842857143</v>
      </c>
      <c r="M18" s="102">
        <f>IF(BB18="","", MROUND(BB18, 10))</f>
        <v>2760</v>
      </c>
      <c r="N18" s="79"/>
      <c r="O18" s="121" t="str">
        <f>IF(T17="","","You have")</f>
        <v>You have</v>
      </c>
      <c r="P18" s="26"/>
      <c r="Q18" s="26"/>
      <c r="R18" s="26"/>
      <c r="S18" s="122">
        <f>IF(T17="","",IF(K18&gt;F7,K18-F7,F7-K18))</f>
        <v>1.671428571</v>
      </c>
      <c r="T18" s="123" t="str">
        <f>IF(T17="","",IF(T17="No Weight Change","",IF(F4="Lb","Lb to go!",IF(F4="Kg","Kg to go!",""))))</f>
        <v>Kg to go!</v>
      </c>
      <c r="U18" s="26"/>
      <c r="V18" s="26"/>
      <c r="W18" s="26"/>
      <c r="X18" s="124"/>
      <c r="Y18" s="109"/>
      <c r="Z18" s="80"/>
      <c r="AA18" s="81">
        <f>AA16+1</f>
        <v>4</v>
      </c>
      <c r="AB18" s="8">
        <f t="shared" si="7"/>
        <v>7</v>
      </c>
      <c r="AC18" s="7">
        <f>IF(K18="",AC16,K18)</f>
        <v>78.67142857</v>
      </c>
      <c r="AD18" s="8">
        <f>AD17</f>
        <v>77</v>
      </c>
      <c r="AE18" s="64">
        <f>IF($F$6&gt;$F$7,IF(AE16&gt;AD18,AE16+$AE$9,AD18),IF($F$6&lt;$F$7,IF(AE16&lt;AD18,AE16+$AE$9,AD18),AD18))</f>
        <v>81.6</v>
      </c>
      <c r="AF18" s="7">
        <f t="shared" si="16"/>
        <v>80.5</v>
      </c>
      <c r="AG18" s="7">
        <f t="shared" ref="AG18:AL18" si="21">IF(E18="",AF18,E18)</f>
        <v>79.9</v>
      </c>
      <c r="AH18" s="7">
        <f t="shared" si="21"/>
        <v>79.2</v>
      </c>
      <c r="AI18" s="7">
        <f t="shared" si="21"/>
        <v>78.6</v>
      </c>
      <c r="AJ18" s="7">
        <f t="shared" si="21"/>
        <v>78</v>
      </c>
      <c r="AK18" s="7">
        <f t="shared" si="21"/>
        <v>77.5</v>
      </c>
      <c r="AL18" s="7">
        <f t="shared" si="21"/>
        <v>77</v>
      </c>
      <c r="AM18" s="82">
        <f t="shared" si="10"/>
        <v>78.67142857</v>
      </c>
      <c r="AN18" s="83">
        <f>IF(AM18="","",AM18-AM16)</f>
        <v>-1.842857143</v>
      </c>
      <c r="AO18" s="84">
        <f>IF(AP18="","",IF(AN18="","",MROUND(AP18,5)))</f>
        <v>2990</v>
      </c>
      <c r="AP18" s="85">
        <f>IF(AB19=0,$AP16,IF(AB18=0,$AP16,((K19+(((-L18)*$AQ$7)/AB19)))+M16+M14+M12)/4)</f>
        <v>2989.278536</v>
      </c>
      <c r="AQ18" s="8"/>
      <c r="AR18" s="8"/>
      <c r="AS18" s="8"/>
      <c r="AT18" s="8"/>
      <c r="AU18" s="8"/>
      <c r="AV18" s="8"/>
      <c r="AW18" s="8"/>
      <c r="AX18" s="8"/>
      <c r="BA18" s="88">
        <f>IF(AM18="", BA16, (AM18*0.3) + (BA16*0.7))</f>
        <v>80.45772857</v>
      </c>
      <c r="BB18" s="88">
        <f>IF(AP18="", BB16, (AP18*0.3) + (BB16*0.7))</f>
        <v>2763.664776</v>
      </c>
      <c r="BC18" s="88">
        <f>IF(BB18="","", BB18*0.8)</f>
        <v>2210.931821</v>
      </c>
    </row>
    <row r="19">
      <c r="A19" s="16"/>
      <c r="B19" s="89"/>
      <c r="C19" s="90" t="str">
        <f t="shared" si="14"/>
        <v>Cal.</v>
      </c>
      <c r="D19" s="91">
        <v>1900.0</v>
      </c>
      <c r="E19" s="92">
        <v>1600.0</v>
      </c>
      <c r="F19" s="92">
        <v>1600.0</v>
      </c>
      <c r="G19" s="92">
        <v>1600.0</v>
      </c>
      <c r="H19" s="92">
        <v>1600.0</v>
      </c>
      <c r="I19" s="92">
        <v>1600.0</v>
      </c>
      <c r="J19" s="93">
        <v>3300.0</v>
      </c>
      <c r="K19" s="125">
        <f t="shared" si="6"/>
        <v>1885.714286</v>
      </c>
      <c r="L19" s="126"/>
      <c r="M19" s="127"/>
      <c r="N19" s="79"/>
      <c r="O19" s="128"/>
      <c r="P19" s="129"/>
      <c r="Q19" s="129"/>
      <c r="R19" s="129"/>
      <c r="S19" s="126"/>
      <c r="T19" s="130"/>
      <c r="U19" s="129"/>
      <c r="V19" s="129"/>
      <c r="W19" s="129"/>
      <c r="X19" s="131"/>
      <c r="Y19" s="109"/>
      <c r="Z19" s="80"/>
      <c r="AA19" s="81">
        <f>AA18+0.5</f>
        <v>4.5</v>
      </c>
      <c r="AB19" s="8">
        <f t="shared" si="7"/>
        <v>7</v>
      </c>
      <c r="AC19" s="7">
        <f t="shared" ref="AC19:AD19" si="22">AC18</f>
        <v>78.67142857</v>
      </c>
      <c r="AD19" s="8">
        <f t="shared" si="22"/>
        <v>77</v>
      </c>
      <c r="AE19" s="8">
        <f>IF($AE$9=0,0,(AE18+AE20)/2)</f>
        <v>81.45</v>
      </c>
      <c r="AF19" s="7">
        <f t="shared" si="16"/>
        <v>1900</v>
      </c>
      <c r="AG19" s="7">
        <f t="shared" ref="AG19:AL19" si="23">IF(E19="",AF19,E19)</f>
        <v>1600</v>
      </c>
      <c r="AH19" s="7">
        <f t="shared" si="23"/>
        <v>1600</v>
      </c>
      <c r="AI19" s="7">
        <f t="shared" si="23"/>
        <v>1600</v>
      </c>
      <c r="AJ19" s="7">
        <f t="shared" si="23"/>
        <v>1600</v>
      </c>
      <c r="AK19" s="7">
        <f t="shared" si="23"/>
        <v>1600</v>
      </c>
      <c r="AL19" s="7">
        <f t="shared" si="23"/>
        <v>3300</v>
      </c>
      <c r="AM19" s="97">
        <f t="shared" si="10"/>
        <v>1885.714286</v>
      </c>
      <c r="AN19" s="37"/>
      <c r="AO19" s="37"/>
      <c r="AP19" s="8"/>
      <c r="AQ19" s="8"/>
      <c r="AR19" s="8"/>
      <c r="AS19" s="8"/>
      <c r="AT19" s="8"/>
      <c r="AU19" s="8"/>
      <c r="AV19" s="8"/>
      <c r="AW19" s="8"/>
      <c r="AX19" s="8"/>
    </row>
    <row r="20">
      <c r="A20" s="16"/>
      <c r="B20" s="72">
        <f>IF(B18="","",B18+7)</f>
        <v>46011</v>
      </c>
      <c r="C20" s="70" t="str">
        <f t="shared" si="14"/>
        <v>Weight</v>
      </c>
      <c r="D20" s="132">
        <v>78.3</v>
      </c>
      <c r="E20" s="133">
        <v>77.6</v>
      </c>
      <c r="F20" s="133">
        <v>77.5</v>
      </c>
      <c r="G20" s="134" t="s">
        <v>39</v>
      </c>
      <c r="H20" s="135" t="s">
        <v>39</v>
      </c>
      <c r="I20" s="134" t="s">
        <v>39</v>
      </c>
      <c r="J20" s="136" t="s">
        <v>39</v>
      </c>
      <c r="K20" s="76">
        <f t="shared" si="6"/>
        <v>77.8</v>
      </c>
      <c r="L20" s="77">
        <f>IF(K20="","",AN20)</f>
        <v>-0.8714285714</v>
      </c>
      <c r="M20" s="78">
        <f>IF(BB20="","", MROUND(BB20, 10))</f>
        <v>2880</v>
      </c>
      <c r="N20" s="79"/>
      <c r="O20" s="79"/>
      <c r="P20" s="79"/>
      <c r="Q20" s="79"/>
      <c r="R20" s="79"/>
      <c r="S20" s="50"/>
      <c r="T20" s="79"/>
      <c r="U20" s="50"/>
      <c r="V20" s="79"/>
      <c r="W20" s="79"/>
      <c r="X20" s="79"/>
      <c r="Y20" s="80"/>
      <c r="Z20" s="80"/>
      <c r="AA20" s="81">
        <f>AA18+1</f>
        <v>5</v>
      </c>
      <c r="AB20" s="8">
        <f t="shared" si="7"/>
        <v>3</v>
      </c>
      <c r="AC20" s="7">
        <f>IF(K20="",AC18,K20)</f>
        <v>77.8</v>
      </c>
      <c r="AD20" s="8">
        <f>AD19</f>
        <v>77</v>
      </c>
      <c r="AE20" s="64">
        <f>IF($F$6&gt;$F$7,IF(AE18&gt;AD20,AE18+$AE$9,AD20),IF($F$6&lt;$F$7,IF(AE18&lt;AD20,AE18+$AE$9,AD20),AD20))</f>
        <v>81.3</v>
      </c>
      <c r="AF20" s="7">
        <f t="shared" si="16"/>
        <v>78.3</v>
      </c>
      <c r="AG20" s="7">
        <f t="shared" ref="AG20:AL20" si="24">IF(E20="",AF20,E20)</f>
        <v>77.6</v>
      </c>
      <c r="AH20" s="7">
        <f t="shared" si="24"/>
        <v>77.5</v>
      </c>
      <c r="AI20" s="7" t="str">
        <f t="shared" si="24"/>
        <v>?</v>
      </c>
      <c r="AJ20" s="7" t="str">
        <f t="shared" si="24"/>
        <v>?</v>
      </c>
      <c r="AK20" s="7" t="str">
        <f t="shared" si="24"/>
        <v>?</v>
      </c>
      <c r="AL20" s="7" t="str">
        <f t="shared" si="24"/>
        <v>?</v>
      </c>
      <c r="AM20" s="82">
        <f t="shared" si="10"/>
        <v>77.8</v>
      </c>
      <c r="AN20" s="83">
        <f>IF(AM20="","",AM20-AM18)</f>
        <v>-0.8714285714</v>
      </c>
      <c r="AO20" s="84">
        <f>IF(AP20="","",IF(AN20="","",MROUND(AP20,5)))</f>
        <v>3160</v>
      </c>
      <c r="AP20" s="85">
        <f>IF(AB21=0,$AP18,IF(AB20=0,$AP18,((K21+(((-L20)*$AQ$7)/AB21)))+M18+M16+M14+M12)/5)</f>
        <v>3162.4091</v>
      </c>
      <c r="AQ20" s="8"/>
      <c r="AR20" s="8"/>
      <c r="AS20" s="8"/>
      <c r="AT20" s="8"/>
      <c r="AU20" s="8"/>
      <c r="AV20" s="8"/>
      <c r="AW20" s="8"/>
      <c r="AX20" s="8"/>
      <c r="BA20" s="88">
        <f>IF(AM20="", BA18, (AM20*0.3) + (BA18*0.7))</f>
        <v>79.66041</v>
      </c>
      <c r="BB20" s="88">
        <f>IF(AP20="", BB18, (AP20*0.3) + (BB18*0.7))</f>
        <v>2883.288073</v>
      </c>
      <c r="BC20" s="88">
        <f>IF(BB20="","", BB20*0.8)</f>
        <v>2306.630459</v>
      </c>
    </row>
    <row r="21" ht="15.75" customHeight="1">
      <c r="A21" s="16"/>
      <c r="B21" s="110"/>
      <c r="C21" s="137" t="str">
        <f t="shared" si="14"/>
        <v>Cal.</v>
      </c>
      <c r="D21" s="138">
        <v>1650.0</v>
      </c>
      <c r="E21" s="139">
        <v>1650.0</v>
      </c>
      <c r="F21" s="140" t="s">
        <v>39</v>
      </c>
      <c r="G21" s="140" t="s">
        <v>39</v>
      </c>
      <c r="H21" s="140" t="s">
        <v>39</v>
      </c>
      <c r="I21" s="140" t="s">
        <v>39</v>
      </c>
      <c r="J21" s="141" t="s">
        <v>39</v>
      </c>
      <c r="K21" s="94">
        <f t="shared" si="6"/>
        <v>1650</v>
      </c>
      <c r="L21" s="95"/>
      <c r="M21" s="96"/>
      <c r="N21" s="79"/>
      <c r="O21" s="4"/>
      <c r="P21" s="4"/>
      <c r="Q21" s="4"/>
      <c r="R21" s="4"/>
      <c r="S21" s="5"/>
      <c r="T21" s="4"/>
      <c r="U21" s="5"/>
      <c r="V21" s="4"/>
      <c r="W21" s="4"/>
      <c r="X21" s="4"/>
      <c r="Y21" s="6"/>
      <c r="Z21" s="80"/>
      <c r="AA21" s="81">
        <f>AA20+0.5</f>
        <v>5.5</v>
      </c>
      <c r="AB21" s="8">
        <f t="shared" si="7"/>
        <v>2</v>
      </c>
      <c r="AC21" s="7">
        <f t="shared" ref="AC21:AD21" si="25">AC20</f>
        <v>77.8</v>
      </c>
      <c r="AD21" s="8">
        <f t="shared" si="25"/>
        <v>77</v>
      </c>
      <c r="AE21" s="8">
        <f>IF($AE$9=0,0,(AE20+AE22)/2)</f>
        <v>81.15</v>
      </c>
      <c r="AF21" s="7">
        <f t="shared" si="16"/>
        <v>1650</v>
      </c>
      <c r="AG21" s="7">
        <f t="shared" ref="AG21:AL21" si="26">IF(E21="",AF21,E21)</f>
        <v>1650</v>
      </c>
      <c r="AH21" s="7" t="str">
        <f t="shared" si="26"/>
        <v>?</v>
      </c>
      <c r="AI21" s="7" t="str">
        <f t="shared" si="26"/>
        <v>?</v>
      </c>
      <c r="AJ21" s="7" t="str">
        <f t="shared" si="26"/>
        <v>?</v>
      </c>
      <c r="AK21" s="7" t="str">
        <f t="shared" si="26"/>
        <v>?</v>
      </c>
      <c r="AL21" s="7" t="str">
        <f t="shared" si="26"/>
        <v>?</v>
      </c>
      <c r="AM21" s="97">
        <f t="shared" si="10"/>
        <v>1650</v>
      </c>
      <c r="AN21" s="37"/>
      <c r="AO21" s="37"/>
      <c r="AP21" s="8"/>
      <c r="AQ21" s="8"/>
      <c r="AR21" s="8"/>
      <c r="AS21" s="8"/>
      <c r="AT21" s="8"/>
      <c r="AU21" s="8"/>
      <c r="AV21" s="8"/>
      <c r="AW21" s="8"/>
      <c r="AX21" s="8"/>
    </row>
    <row r="22" ht="15.75" customHeight="1">
      <c r="A22" s="16"/>
      <c r="B22" s="98">
        <f>IF(B20="","",B20+7)</f>
        <v>46018</v>
      </c>
      <c r="C22" s="142" t="str">
        <f t="shared" si="14"/>
        <v>Weight</v>
      </c>
      <c r="D22" s="143">
        <v>80.0</v>
      </c>
      <c r="E22" s="139">
        <v>80.5</v>
      </c>
      <c r="F22" s="139">
        <v>79.4</v>
      </c>
      <c r="G22" s="144">
        <v>78.6</v>
      </c>
      <c r="H22" s="144">
        <v>77.5</v>
      </c>
      <c r="I22" s="144">
        <v>77.4</v>
      </c>
      <c r="J22" s="145">
        <v>80.0</v>
      </c>
      <c r="K22" s="100">
        <f t="shared" si="6"/>
        <v>79.05714286</v>
      </c>
      <c r="L22" s="101">
        <f>IF(K22="","",AN22)</f>
        <v>1.257142857</v>
      </c>
      <c r="M22" s="102">
        <f>IF(BB22="","", MROUND(BB22, 10))</f>
        <v>2720</v>
      </c>
      <c r="N22" s="79"/>
      <c r="O22" s="103" t="str">
        <f>IF(M26="","","From")</f>
        <v/>
      </c>
      <c r="P22" s="104"/>
      <c r="Q22" s="105" t="str">
        <f>IF(M26="","",B20)</f>
        <v/>
      </c>
      <c r="R22" s="104"/>
      <c r="S22" s="104"/>
      <c r="T22" s="106" t="str">
        <f>IF(M26="","","to")</f>
        <v/>
      </c>
      <c r="U22" s="107" t="str">
        <f>IF(M26="","",B26)</f>
        <v/>
      </c>
      <c r="V22" s="104"/>
      <c r="W22" s="104"/>
      <c r="X22" s="108"/>
      <c r="Y22" s="109"/>
      <c r="Z22" s="80"/>
      <c r="AA22" s="81">
        <f>AA20+1</f>
        <v>6</v>
      </c>
      <c r="AB22" s="8">
        <f t="shared" si="7"/>
        <v>7</v>
      </c>
      <c r="AC22" s="7">
        <f>IF(K22="",AC20,K22)</f>
        <v>79.05714286</v>
      </c>
      <c r="AD22" s="8">
        <f>AD21</f>
        <v>77</v>
      </c>
      <c r="AE22" s="64">
        <f>IF($F$6&gt;$F$7,IF(AE20&gt;AD22,AE20+$AE$9,AD22),IF($F$6&lt;$F$7,IF(AE20&lt;AD22,AE20+$AE$9,AD22),AD22))</f>
        <v>81</v>
      </c>
      <c r="AF22" s="7">
        <f t="shared" si="16"/>
        <v>80</v>
      </c>
      <c r="AG22" s="7">
        <f t="shared" ref="AG22:AL22" si="27">IF(E22="",AF22,E22)</f>
        <v>80.5</v>
      </c>
      <c r="AH22" s="7">
        <f t="shared" si="27"/>
        <v>79.4</v>
      </c>
      <c r="AI22" s="7">
        <f t="shared" si="27"/>
        <v>78.6</v>
      </c>
      <c r="AJ22" s="7">
        <f t="shared" si="27"/>
        <v>77.5</v>
      </c>
      <c r="AK22" s="7">
        <f t="shared" si="27"/>
        <v>77.4</v>
      </c>
      <c r="AL22" s="7">
        <f t="shared" si="27"/>
        <v>80</v>
      </c>
      <c r="AM22" s="82">
        <f t="shared" si="10"/>
        <v>79.05714286</v>
      </c>
      <c r="AN22" s="83">
        <f>IF(AM22="","",AM22-AM20)</f>
        <v>1.257142857</v>
      </c>
      <c r="AO22" s="84">
        <f>IF(AP22="","",IF(AN22="","",MROUND(AP22,5)))</f>
        <v>2345</v>
      </c>
      <c r="AP22" s="85">
        <f>IF(AB23=0,$AP20,IF(AB22=0,$AP20,((K23+(((-L22)*$AQ$7)/AB23)))+M20+M18+M16+M14+M12)/6)</f>
        <v>2346.657556</v>
      </c>
      <c r="AQ22" s="8"/>
      <c r="AR22" s="8"/>
      <c r="AS22" s="8"/>
      <c r="AT22" s="8"/>
      <c r="AU22" s="8"/>
      <c r="AV22" s="8"/>
      <c r="AW22" s="8"/>
      <c r="AX22" s="8"/>
      <c r="BA22" s="88">
        <f>IF(AM22="", BA20, (AM22*0.3) + (BA20*0.7))</f>
        <v>79.47942986</v>
      </c>
      <c r="BB22" s="88">
        <f>IF(AP22="", BB20, (AP22*0.3) + (BB20*0.7))</f>
        <v>2722.298918</v>
      </c>
      <c r="BC22" s="88">
        <f>IF(BB22="","", BB22*0.8)</f>
        <v>2177.839134</v>
      </c>
    </row>
    <row r="23" ht="15.75" customHeight="1">
      <c r="A23" s="16"/>
      <c r="B23" s="110"/>
      <c r="C23" s="146" t="str">
        <f t="shared" si="14"/>
        <v>Cal.</v>
      </c>
      <c r="D23" s="143" t="s">
        <v>39</v>
      </c>
      <c r="E23" s="139">
        <v>1550.0</v>
      </c>
      <c r="F23" s="144">
        <v>1600.0</v>
      </c>
      <c r="G23" s="144">
        <v>1750.0</v>
      </c>
      <c r="H23" s="144">
        <v>1500.0</v>
      </c>
      <c r="I23" s="144">
        <v>3800.0</v>
      </c>
      <c r="J23" s="145">
        <v>1900.0</v>
      </c>
      <c r="K23" s="94">
        <f t="shared" si="6"/>
        <v>2016.666667</v>
      </c>
      <c r="L23" s="95"/>
      <c r="M23" s="96"/>
      <c r="N23" s="79"/>
      <c r="O23" s="112"/>
      <c r="Q23" s="36"/>
      <c r="T23" s="37"/>
      <c r="U23" s="36"/>
      <c r="X23" s="113"/>
      <c r="Y23" s="109"/>
      <c r="Z23" s="6"/>
      <c r="AA23" s="81">
        <f>AA22+0.5</f>
        <v>6.5</v>
      </c>
      <c r="AB23" s="8">
        <f t="shared" si="7"/>
        <v>6</v>
      </c>
      <c r="AC23" s="7">
        <f t="shared" ref="AC23:AD23" si="28">AC22</f>
        <v>79.05714286</v>
      </c>
      <c r="AD23" s="8">
        <f t="shared" si="28"/>
        <v>77</v>
      </c>
      <c r="AE23" s="8">
        <f>IF($AE$9=0,0,(AE22+AE24)/2)</f>
        <v>80.85</v>
      </c>
      <c r="AF23" s="7" t="str">
        <f t="shared" si="16"/>
        <v>?</v>
      </c>
      <c r="AG23" s="7">
        <f t="shared" ref="AG23:AL23" si="29">IF(E23="",AF23,E23)</f>
        <v>1550</v>
      </c>
      <c r="AH23" s="7">
        <f t="shared" si="29"/>
        <v>1600</v>
      </c>
      <c r="AI23" s="7">
        <f t="shared" si="29"/>
        <v>1750</v>
      </c>
      <c r="AJ23" s="7">
        <f t="shared" si="29"/>
        <v>1500</v>
      </c>
      <c r="AK23" s="7">
        <f t="shared" si="29"/>
        <v>3800</v>
      </c>
      <c r="AL23" s="7">
        <f t="shared" si="29"/>
        <v>1900</v>
      </c>
      <c r="AM23" s="97">
        <f t="shared" si="10"/>
        <v>2016.666667</v>
      </c>
      <c r="AN23" s="37"/>
      <c r="AO23" s="37"/>
      <c r="AP23" s="8"/>
      <c r="AQ23" s="8"/>
      <c r="AR23" s="8"/>
      <c r="AS23" s="8"/>
      <c r="AT23" s="8"/>
      <c r="AU23" s="8"/>
      <c r="AV23" s="8"/>
      <c r="AW23" s="8"/>
      <c r="AX23" s="8"/>
    </row>
    <row r="24" ht="15.75" customHeight="1">
      <c r="A24" s="16"/>
      <c r="B24" s="98">
        <f>IF(B22="","",B22+7)</f>
        <v>46025</v>
      </c>
      <c r="C24" s="142" t="str">
        <f t="shared" si="14"/>
        <v>Weight</v>
      </c>
      <c r="D24" s="143">
        <v>77.6</v>
      </c>
      <c r="E24" s="144">
        <v>77.5</v>
      </c>
      <c r="F24" s="144">
        <v>77.2</v>
      </c>
      <c r="G24" s="144">
        <v>76.6</v>
      </c>
      <c r="H24" s="144">
        <v>76.4</v>
      </c>
      <c r="I24" s="144">
        <v>77.0</v>
      </c>
      <c r="J24" s="145">
        <v>76.4</v>
      </c>
      <c r="K24" s="100">
        <f t="shared" si="6"/>
        <v>76.95714286</v>
      </c>
      <c r="L24" s="101">
        <f>IF(K24="","",AN24)</f>
        <v>-2.1</v>
      </c>
      <c r="M24" s="102">
        <f>IF(AM24="", "", MROUND(BB24, 10))</f>
        <v>2810</v>
      </c>
      <c r="N24" s="79"/>
      <c r="O24" s="114" t="str">
        <f>IF(M26="","",IF(K26=K18,"No Weight Change",IF(K26&gt;K18,"You Gained:","You Lost:")))</f>
        <v/>
      </c>
      <c r="P24" s="14"/>
      <c r="Q24" s="14"/>
      <c r="R24" s="14"/>
      <c r="S24" s="14"/>
      <c r="T24" s="14"/>
      <c r="U24" s="115" t="str">
        <f>IF(M26="","",IF(K26=K18,"",IF(K26&gt;K18,K26-K18,K18-K26)))</f>
        <v/>
      </c>
      <c r="V24" s="116" t="str">
        <f>IF(O24="","",IF(O24="No Weight Change","",IF($F$4="Lb","Lb",IF($F$4="Kg","Kg",""))))</f>
        <v/>
      </c>
      <c r="W24" s="14"/>
      <c r="X24" s="117"/>
      <c r="Y24" s="109"/>
      <c r="Z24" s="6"/>
      <c r="AA24" s="81">
        <f>AA22+1</f>
        <v>7</v>
      </c>
      <c r="AB24" s="8">
        <f t="shared" si="7"/>
        <v>7</v>
      </c>
      <c r="AC24" s="7">
        <f>IF(K24="",AC22,K24)</f>
        <v>76.95714286</v>
      </c>
      <c r="AD24" s="8">
        <f>AD23</f>
        <v>77</v>
      </c>
      <c r="AE24" s="64">
        <f>IF($F$6&gt;$F$7,IF(AE22&gt;AD24,AE22+$AE$9,AD24),IF($F$6&lt;$F$7,IF(AE22&lt;AD24,AE22+$AE$9,AD24),AD24))</f>
        <v>80.7</v>
      </c>
      <c r="AF24" s="7">
        <f t="shared" si="16"/>
        <v>77.6</v>
      </c>
      <c r="AG24" s="7">
        <f t="shared" ref="AG24:AL24" si="30">IF(E24="",AF24,E24)</f>
        <v>77.5</v>
      </c>
      <c r="AH24" s="7">
        <f t="shared" si="30"/>
        <v>77.2</v>
      </c>
      <c r="AI24" s="7">
        <f t="shared" si="30"/>
        <v>76.6</v>
      </c>
      <c r="AJ24" s="7">
        <f t="shared" si="30"/>
        <v>76.4</v>
      </c>
      <c r="AK24" s="7">
        <f t="shared" si="30"/>
        <v>77</v>
      </c>
      <c r="AL24" s="7">
        <f t="shared" si="30"/>
        <v>76.4</v>
      </c>
      <c r="AM24" s="82">
        <f t="shared" si="10"/>
        <v>76.95714286</v>
      </c>
      <c r="AN24" s="83">
        <f>IF(AM24="","",AM24-AM22)</f>
        <v>-2.1</v>
      </c>
      <c r="AO24" s="84">
        <f>IF(AP24="","",IF(AN24="","",MROUND(AP24,5)))</f>
        <v>3005</v>
      </c>
      <c r="AP24" s="85">
        <f>IF(AB25=0,$AP22,IF(AB24=0,$AP22,((K25+(((-L24)*$AQ$7)/AB25)))+M22+M20+M18+M16+M14)/6)</f>
        <v>3004.379929</v>
      </c>
      <c r="AQ24" s="8"/>
      <c r="AR24" s="8"/>
      <c r="AS24" s="8"/>
      <c r="AT24" s="8"/>
      <c r="AU24" s="8"/>
      <c r="AV24" s="8"/>
      <c r="AW24" s="8"/>
      <c r="AX24" s="8"/>
      <c r="BA24" s="88">
        <f>IF(AM24="", BA22, (AM24*0.3) + (BA22*0.7))</f>
        <v>78.72274376</v>
      </c>
      <c r="BB24" s="88">
        <f>IF(AP24="", BB22, (AP24*0.3) + (BB22*0.7))</f>
        <v>2806.923221</v>
      </c>
      <c r="BC24" s="88">
        <f>IF(BB24="","", BB24*0.8)</f>
        <v>2245.538577</v>
      </c>
    </row>
    <row r="25" ht="15.75" customHeight="1">
      <c r="A25" s="16"/>
      <c r="B25" s="110"/>
      <c r="C25" s="146" t="str">
        <f t="shared" si="14"/>
        <v>Cal.</v>
      </c>
      <c r="D25" s="143">
        <v>1900.0</v>
      </c>
      <c r="E25" s="144">
        <v>1950.0</v>
      </c>
      <c r="F25" s="144">
        <v>2050.0</v>
      </c>
      <c r="G25" s="144">
        <v>1985.0</v>
      </c>
      <c r="H25" s="144">
        <v>1975.0</v>
      </c>
      <c r="I25" s="144">
        <v>1900.0</v>
      </c>
      <c r="J25" s="147"/>
      <c r="K25" s="94">
        <f t="shared" si="6"/>
        <v>1951.428571</v>
      </c>
      <c r="L25" s="95"/>
      <c r="M25" s="96"/>
      <c r="N25" s="79"/>
      <c r="O25" s="118" t="str">
        <f>IF(M26="","",IF(K26=K18,"","At a Rate Of"))</f>
        <v/>
      </c>
      <c r="P25" s="14"/>
      <c r="Q25" s="14"/>
      <c r="R25" s="14"/>
      <c r="S25" s="14"/>
      <c r="T25" s="119" t="str">
        <f>IF(O25="","",U24/4)</f>
        <v/>
      </c>
      <c r="U25" s="14"/>
      <c r="V25" s="120" t="str">
        <f>IF(O24="","",IF(O24="No Weight Change","",IF($F$4="Lb","Lb/Wk",IF($F$4="Kg","Kg/Wk",""))))</f>
        <v/>
      </c>
      <c r="W25" s="14"/>
      <c r="X25" s="117"/>
      <c r="Y25" s="109"/>
      <c r="Z25" s="6"/>
      <c r="AA25" s="81">
        <f>AA24+0.5</f>
        <v>7.5</v>
      </c>
      <c r="AB25" s="8">
        <f t="shared" si="7"/>
        <v>7</v>
      </c>
      <c r="AC25" s="7">
        <f t="shared" ref="AC25:AD25" si="31">AC24</f>
        <v>76.95714286</v>
      </c>
      <c r="AD25" s="8">
        <f t="shared" si="31"/>
        <v>77</v>
      </c>
      <c r="AE25" s="8">
        <f>IF($AE$9=0,0,(AE24+AE26)/2)</f>
        <v>80.55</v>
      </c>
      <c r="AF25" s="7">
        <f t="shared" si="16"/>
        <v>1900</v>
      </c>
      <c r="AG25" s="7">
        <f t="shared" ref="AG25:AL25" si="32">IF(E25="",AF25,E25)</f>
        <v>1950</v>
      </c>
      <c r="AH25" s="7">
        <f t="shared" si="32"/>
        <v>2050</v>
      </c>
      <c r="AI25" s="7">
        <f t="shared" si="32"/>
        <v>1985</v>
      </c>
      <c r="AJ25" s="7">
        <f t="shared" si="32"/>
        <v>1975</v>
      </c>
      <c r="AK25" s="7">
        <f t="shared" si="32"/>
        <v>1900</v>
      </c>
      <c r="AL25" s="7">
        <f t="shared" si="32"/>
        <v>1900</v>
      </c>
      <c r="AM25" s="97">
        <f t="shared" si="10"/>
        <v>1951.428571</v>
      </c>
      <c r="AN25" s="37"/>
      <c r="AO25" s="37"/>
      <c r="AP25" s="8"/>
      <c r="AQ25" s="8"/>
      <c r="AR25" s="8"/>
      <c r="AS25" s="8"/>
      <c r="AT25" s="8"/>
      <c r="AU25" s="8"/>
      <c r="AV25" s="8"/>
      <c r="AW25" s="8"/>
      <c r="AX25" s="8"/>
    </row>
    <row r="26" ht="15.75" customHeight="1">
      <c r="A26" s="16"/>
      <c r="B26" s="98">
        <f>IF(B24="","",B24+7)</f>
        <v>46032</v>
      </c>
      <c r="C26" s="142" t="str">
        <f t="shared" si="14"/>
        <v>Weight</v>
      </c>
      <c r="D26" s="138"/>
      <c r="E26" s="148"/>
      <c r="F26" s="148"/>
      <c r="G26" s="139"/>
      <c r="H26" s="139"/>
      <c r="I26" s="139"/>
      <c r="J26" s="147"/>
      <c r="K26" s="100" t="str">
        <f t="shared" si="6"/>
        <v/>
      </c>
      <c r="L26" s="101" t="str">
        <f>IF(K26="","",AN26)</f>
        <v/>
      </c>
      <c r="M26" s="102" t="str">
        <f>IF(AM26="", "", MROUND(BB26, 10))</f>
        <v/>
      </c>
      <c r="N26" s="149"/>
      <c r="O26" s="121" t="str">
        <f>IF(T25="","","You have")</f>
        <v/>
      </c>
      <c r="P26" s="26"/>
      <c r="Q26" s="26"/>
      <c r="R26" s="26"/>
      <c r="S26" s="122" t="str">
        <f>IF(T25="","",IF(K26&gt;F15,K26-F15,F15-K26))</f>
        <v/>
      </c>
      <c r="T26" s="123" t="str">
        <f>IF(T25="","",IF(T25="No Weight Change","",IF(F12="Lb","Lb to go!",IF(F12="Kg","Kg to go!",""))))</f>
        <v/>
      </c>
      <c r="U26" s="26"/>
      <c r="V26" s="26"/>
      <c r="W26" s="26"/>
      <c r="X26" s="124"/>
      <c r="Y26" s="109"/>
      <c r="Z26" s="80"/>
      <c r="AA26" s="81">
        <f>AA24+1</f>
        <v>8</v>
      </c>
      <c r="AB26" s="8">
        <f t="shared" si="7"/>
        <v>0</v>
      </c>
      <c r="AC26" s="7">
        <f>IF(K26="",AC24,K26)</f>
        <v>76.95714286</v>
      </c>
      <c r="AD26" s="8">
        <f>AD25</f>
        <v>77</v>
      </c>
      <c r="AE26" s="64">
        <f>IF($F$6&gt;$F$7,IF(AE24&gt;AD26,AE24+$AE$9,AD26),IF($F$6&lt;$F$7,IF(AE24&lt;AD26,AE24+$AE$9,AD26),AD26))</f>
        <v>80.4</v>
      </c>
      <c r="AF26" s="7" t="str">
        <f t="shared" si="16"/>
        <v/>
      </c>
      <c r="AG26" s="7" t="str">
        <f t="shared" ref="AG26:AL26" si="33">IF(E26="",AF26,E26)</f>
        <v/>
      </c>
      <c r="AH26" s="7" t="str">
        <f t="shared" si="33"/>
        <v/>
      </c>
      <c r="AI26" s="7" t="str">
        <f t="shared" si="33"/>
        <v/>
      </c>
      <c r="AJ26" s="7" t="str">
        <f t="shared" si="33"/>
        <v/>
      </c>
      <c r="AK26" s="7" t="str">
        <f t="shared" si="33"/>
        <v/>
      </c>
      <c r="AL26" s="7" t="str">
        <f t="shared" si="33"/>
        <v/>
      </c>
      <c r="AM26" s="82" t="str">
        <f t="shared" si="10"/>
        <v/>
      </c>
      <c r="AN26" s="83" t="str">
        <f>IF(AM26="","",AM26-AM24)</f>
        <v/>
      </c>
      <c r="AO26" s="84" t="str">
        <f>IF(AP26="","",IF(AN26="","",MROUND(AP26,5)))</f>
        <v/>
      </c>
      <c r="AP26" s="85">
        <f>IF(AB27=0,$AP24,IF(AB26=0,$AP24,((K27+(((-L26)*$AQ$7)/AB27)))+M24+M22+M20+M18+M16)/6)</f>
        <v>3004.379929</v>
      </c>
      <c r="AQ26" s="8"/>
      <c r="AR26" s="8"/>
      <c r="AS26" s="8"/>
      <c r="AT26" s="8"/>
      <c r="AU26" s="8"/>
      <c r="AV26" s="8"/>
      <c r="AW26" s="8"/>
      <c r="AX26" s="8"/>
      <c r="BA26" s="88">
        <f>IF(AM26="", BA24, (AM26*0.3) + (BA24*0.7))</f>
        <v>78.72274376</v>
      </c>
      <c r="BB26" s="88">
        <f>IF(AP26="", BB24, (AP26*0.3) + (BB24*0.7))</f>
        <v>2866.160233</v>
      </c>
      <c r="BC26" s="88">
        <f>IF(BB26="","", BB26*0.8)</f>
        <v>2292.928187</v>
      </c>
    </row>
    <row r="27" ht="15.75" customHeight="1">
      <c r="A27" s="16"/>
      <c r="B27" s="150"/>
      <c r="C27" s="151" t="str">
        <f t="shared" si="14"/>
        <v>Cal.</v>
      </c>
      <c r="D27" s="152"/>
      <c r="E27" s="153"/>
      <c r="F27" s="153"/>
      <c r="G27" s="153"/>
      <c r="H27" s="153"/>
      <c r="I27" s="153"/>
      <c r="J27" s="154"/>
      <c r="K27" s="125" t="str">
        <f t="shared" si="6"/>
        <v/>
      </c>
      <c r="L27" s="126"/>
      <c r="M27" s="96"/>
      <c r="N27" s="149"/>
      <c r="O27" s="128"/>
      <c r="P27" s="129"/>
      <c r="Q27" s="129"/>
      <c r="R27" s="129"/>
      <c r="S27" s="126"/>
      <c r="T27" s="130"/>
      <c r="U27" s="129"/>
      <c r="V27" s="129"/>
      <c r="W27" s="129"/>
      <c r="X27" s="131"/>
      <c r="Y27" s="109"/>
      <c r="Z27" s="80"/>
      <c r="AA27" s="81">
        <f>AA26+0.5</f>
        <v>8.5</v>
      </c>
      <c r="AB27" s="8">
        <f t="shared" si="7"/>
        <v>0</v>
      </c>
      <c r="AC27" s="7">
        <f t="shared" ref="AC27:AD27" si="34">AC26</f>
        <v>76.95714286</v>
      </c>
      <c r="AD27" s="8">
        <f t="shared" si="34"/>
        <v>77</v>
      </c>
      <c r="AE27" s="8">
        <f>IF($AE$9=0,0,(AE26+AE28)/2)</f>
        <v>80.25</v>
      </c>
      <c r="AF27" s="7" t="str">
        <f t="shared" si="16"/>
        <v/>
      </c>
      <c r="AG27" s="7" t="str">
        <f t="shared" ref="AG27:AL27" si="35">IF(E27="",AF27,E27)</f>
        <v/>
      </c>
      <c r="AH27" s="7" t="str">
        <f t="shared" si="35"/>
        <v/>
      </c>
      <c r="AI27" s="7" t="str">
        <f t="shared" si="35"/>
        <v/>
      </c>
      <c r="AJ27" s="7" t="str">
        <f t="shared" si="35"/>
        <v/>
      </c>
      <c r="AK27" s="7" t="str">
        <f t="shared" si="35"/>
        <v/>
      </c>
      <c r="AL27" s="7" t="str">
        <f t="shared" si="35"/>
        <v/>
      </c>
      <c r="AM27" s="97" t="str">
        <f t="shared" si="10"/>
        <v/>
      </c>
      <c r="AN27" s="37"/>
      <c r="AO27" s="37"/>
      <c r="AP27" s="8"/>
      <c r="AQ27" s="8"/>
      <c r="AR27" s="8"/>
      <c r="AS27" s="8"/>
      <c r="AT27" s="8"/>
      <c r="AU27" s="8"/>
      <c r="AV27" s="8"/>
      <c r="AW27" s="8"/>
      <c r="AX27" s="8"/>
    </row>
    <row r="28" ht="15.75" customHeight="1">
      <c r="A28" s="16"/>
      <c r="B28" s="72">
        <f>IF(B26="","",B26+7)</f>
        <v>46039</v>
      </c>
      <c r="C28" s="70" t="str">
        <f t="shared" si="14"/>
        <v>Weight</v>
      </c>
      <c r="D28" s="155"/>
      <c r="E28" s="156"/>
      <c r="F28" s="156"/>
      <c r="G28" s="156"/>
      <c r="H28" s="156"/>
      <c r="I28" s="156"/>
      <c r="J28" s="157"/>
      <c r="K28" s="76" t="str">
        <f t="shared" si="6"/>
        <v/>
      </c>
      <c r="L28" s="77" t="str">
        <f>IF(K28="","",AN28)</f>
        <v/>
      </c>
      <c r="M28" s="78" t="str">
        <f>IF(AM28="", "", MROUND(BB28, 10))</f>
        <v/>
      </c>
      <c r="N28" s="149"/>
      <c r="O28" s="79"/>
      <c r="P28" s="79"/>
      <c r="Q28" s="79"/>
      <c r="R28" s="79"/>
      <c r="S28" s="50"/>
      <c r="T28" s="79"/>
      <c r="U28" s="50"/>
      <c r="V28" s="79"/>
      <c r="W28" s="79"/>
      <c r="X28" s="79"/>
      <c r="Y28" s="80"/>
      <c r="Z28" s="80"/>
      <c r="AA28" s="81">
        <f>AA26+1</f>
        <v>9</v>
      </c>
      <c r="AB28" s="8">
        <f t="shared" si="7"/>
        <v>0</v>
      </c>
      <c r="AC28" s="7">
        <f>IF(K28="",AC26,K28)</f>
        <v>76.95714286</v>
      </c>
      <c r="AD28" s="8">
        <f>AD27</f>
        <v>77</v>
      </c>
      <c r="AE28" s="64">
        <f>IF($F$6&gt;$F$7,IF(AE26&gt;AD28,AE26+$AE$9,AD28),IF($F$6&lt;$F$7,IF(AE26&lt;AD28,AE26+$AE$9,AD28),AD28))</f>
        <v>80.1</v>
      </c>
      <c r="AF28" s="7" t="str">
        <f t="shared" si="16"/>
        <v/>
      </c>
      <c r="AG28" s="7" t="str">
        <f t="shared" ref="AG28:AL28" si="36">IF(E28="",AF28,E28)</f>
        <v/>
      </c>
      <c r="AH28" s="7" t="str">
        <f t="shared" si="36"/>
        <v/>
      </c>
      <c r="AI28" s="7" t="str">
        <f t="shared" si="36"/>
        <v/>
      </c>
      <c r="AJ28" s="7" t="str">
        <f t="shared" si="36"/>
        <v/>
      </c>
      <c r="AK28" s="7" t="str">
        <f t="shared" si="36"/>
        <v/>
      </c>
      <c r="AL28" s="7" t="str">
        <f t="shared" si="36"/>
        <v/>
      </c>
      <c r="AM28" s="82" t="str">
        <f t="shared" si="10"/>
        <v/>
      </c>
      <c r="AN28" s="83" t="str">
        <f>IF(AM28="","",AM28-AM26)</f>
        <v/>
      </c>
      <c r="AO28" s="84" t="str">
        <f>IF(AP28="","",IF(AN28="","",MROUND(AP28,5)))</f>
        <v/>
      </c>
      <c r="AP28" s="85">
        <f>IF(AB29=0,$AP26,IF(AB28=0,$AP26,((K29+(((-L28)*$AQ$7)/AB29)))+M26+M24+M22+M20+M18)/6)</f>
        <v>3004.379929</v>
      </c>
      <c r="AQ28" s="8"/>
      <c r="AR28" s="8"/>
      <c r="AS28" s="8"/>
      <c r="AT28" s="8"/>
      <c r="AU28" s="8"/>
      <c r="AV28" s="8"/>
      <c r="AW28" s="8"/>
      <c r="AX28" s="8"/>
      <c r="BA28" s="88">
        <f>IF(AM28="", BA26, (AM28*0.3) + (BA26*0.7))</f>
        <v>78.72274376</v>
      </c>
      <c r="BB28" s="88">
        <f>IF(AP28="", BB26, (AP28*0.3) + (BB26*0.7))</f>
        <v>2907.626142</v>
      </c>
      <c r="BC28" s="88">
        <f>IF(BB28="","", BB28*0.8)</f>
        <v>2326.100914</v>
      </c>
    </row>
    <row r="29" ht="15.75" customHeight="1">
      <c r="A29" s="16"/>
      <c r="B29" s="110"/>
      <c r="C29" s="137" t="str">
        <f t="shared" si="14"/>
        <v>Cal.</v>
      </c>
      <c r="D29" s="158"/>
      <c r="E29" s="159"/>
      <c r="F29" s="159"/>
      <c r="G29" s="159"/>
      <c r="H29" s="159"/>
      <c r="I29" s="159"/>
      <c r="J29" s="160"/>
      <c r="K29" s="94" t="str">
        <f t="shared" si="6"/>
        <v/>
      </c>
      <c r="L29" s="95"/>
      <c r="M29" s="96"/>
      <c r="N29" s="149"/>
      <c r="O29" s="79"/>
      <c r="P29" s="79"/>
      <c r="Q29" s="79"/>
      <c r="R29" s="79"/>
      <c r="S29" s="50"/>
      <c r="T29" s="79"/>
      <c r="U29" s="50"/>
      <c r="V29" s="79"/>
      <c r="W29" s="79"/>
      <c r="X29" s="79"/>
      <c r="Y29" s="80"/>
      <c r="Z29" s="80"/>
      <c r="AA29" s="81">
        <f>AA28+0.5</f>
        <v>9.5</v>
      </c>
      <c r="AB29" s="8">
        <f t="shared" si="7"/>
        <v>0</v>
      </c>
      <c r="AC29" s="7">
        <f t="shared" ref="AC29:AD29" si="37">AC28</f>
        <v>76.95714286</v>
      </c>
      <c r="AD29" s="8">
        <f t="shared" si="37"/>
        <v>77</v>
      </c>
      <c r="AE29" s="8">
        <f>IF($AE$9=0,0,(AE28+AE30)/2)</f>
        <v>79.95</v>
      </c>
      <c r="AF29" s="7" t="str">
        <f t="shared" si="16"/>
        <v/>
      </c>
      <c r="AG29" s="7" t="str">
        <f t="shared" ref="AG29:AL29" si="38">IF(E29="",AF29,E29)</f>
        <v/>
      </c>
      <c r="AH29" s="7" t="str">
        <f t="shared" si="38"/>
        <v/>
      </c>
      <c r="AI29" s="7" t="str">
        <f t="shared" si="38"/>
        <v/>
      </c>
      <c r="AJ29" s="7" t="str">
        <f t="shared" si="38"/>
        <v/>
      </c>
      <c r="AK29" s="7" t="str">
        <f t="shared" si="38"/>
        <v/>
      </c>
      <c r="AL29" s="7" t="str">
        <f t="shared" si="38"/>
        <v/>
      </c>
      <c r="AM29" s="97" t="str">
        <f t="shared" si="10"/>
        <v/>
      </c>
      <c r="AN29" s="37"/>
      <c r="AO29" s="37"/>
      <c r="AP29" s="8"/>
      <c r="AQ29" s="8"/>
      <c r="AR29" s="8"/>
      <c r="AS29" s="8"/>
      <c r="AT29" s="8"/>
      <c r="AU29" s="8"/>
      <c r="AV29" s="8"/>
      <c r="AW29" s="8"/>
      <c r="AX29" s="8"/>
    </row>
    <row r="30" ht="15.75" customHeight="1">
      <c r="A30" s="16"/>
      <c r="B30" s="98">
        <f>IF(B28="","",B28+7)</f>
        <v>46046</v>
      </c>
      <c r="C30" s="142" t="str">
        <f t="shared" si="14"/>
        <v>Weight</v>
      </c>
      <c r="D30" s="158"/>
      <c r="E30" s="159"/>
      <c r="F30" s="159"/>
      <c r="G30" s="159"/>
      <c r="H30" s="159"/>
      <c r="I30" s="159"/>
      <c r="J30" s="160"/>
      <c r="K30" s="100" t="str">
        <f t="shared" si="6"/>
        <v/>
      </c>
      <c r="L30" s="101" t="str">
        <f>IF(K30="","",AN30)</f>
        <v/>
      </c>
      <c r="M30" s="102" t="str">
        <f>IF(AM30="", "", MROUND(BB30, 10))</f>
        <v/>
      </c>
      <c r="N30" s="149"/>
      <c r="O30" s="103" t="str">
        <f>IF(M34="","","From")</f>
        <v/>
      </c>
      <c r="P30" s="104"/>
      <c r="Q30" s="105" t="str">
        <f>IF(M34="","",B28)</f>
        <v/>
      </c>
      <c r="R30" s="104"/>
      <c r="S30" s="104"/>
      <c r="T30" s="106" t="str">
        <f>IF(M34="","","to")</f>
        <v/>
      </c>
      <c r="U30" s="107" t="str">
        <f>IF(M34="","",B34)</f>
        <v/>
      </c>
      <c r="V30" s="104"/>
      <c r="W30" s="104"/>
      <c r="X30" s="108"/>
      <c r="Y30" s="109"/>
      <c r="Z30" s="80"/>
      <c r="AA30" s="81">
        <f>AA28+1</f>
        <v>10</v>
      </c>
      <c r="AB30" s="8">
        <f t="shared" si="7"/>
        <v>0</v>
      </c>
      <c r="AC30" s="7">
        <f>IF(K30="",AC28,K30)</f>
        <v>76.95714286</v>
      </c>
      <c r="AD30" s="8">
        <f>AD29</f>
        <v>77</v>
      </c>
      <c r="AE30" s="64">
        <f>IF($F$6&gt;$F$7,IF(AE28&gt;AD30,AE28+$AE$9,AD30),IF($F$6&lt;$F$7,IF(AE28&lt;AD30,AE28+$AE$9,AD30),AD30))</f>
        <v>79.8</v>
      </c>
      <c r="AF30" s="7" t="str">
        <f t="shared" si="16"/>
        <v/>
      </c>
      <c r="AG30" s="7" t="str">
        <f t="shared" ref="AG30:AL30" si="39">IF(E30="",AF30,E30)</f>
        <v/>
      </c>
      <c r="AH30" s="7" t="str">
        <f t="shared" si="39"/>
        <v/>
      </c>
      <c r="AI30" s="7" t="str">
        <f t="shared" si="39"/>
        <v/>
      </c>
      <c r="AJ30" s="7" t="str">
        <f t="shared" si="39"/>
        <v/>
      </c>
      <c r="AK30" s="7" t="str">
        <f t="shared" si="39"/>
        <v/>
      </c>
      <c r="AL30" s="7" t="str">
        <f t="shared" si="39"/>
        <v/>
      </c>
      <c r="AM30" s="82" t="str">
        <f t="shared" si="10"/>
        <v/>
      </c>
      <c r="AN30" s="83" t="str">
        <f>IF(AM30="","",AM30-AM28)</f>
        <v/>
      </c>
      <c r="AO30" s="161">
        <v>76.4</v>
      </c>
      <c r="AP30" s="85">
        <f>IF(AB31=0,$AP28,IF(AB30=0,$AP28,((K31+(((-L30)*$AQ$7)/AB31)))+M28+M26+M24+M22+M20)/6)</f>
        <v>3004.379929</v>
      </c>
      <c r="AQ30" s="8"/>
      <c r="AR30" s="8"/>
      <c r="AS30" s="8"/>
      <c r="AT30" s="8"/>
      <c r="AU30" s="8"/>
      <c r="AV30" s="8"/>
      <c r="AW30" s="8"/>
      <c r="AX30" s="8"/>
      <c r="BA30" s="88">
        <f>IF(AM30="", BA28, (AM30*0.3) + (BA28*0.7))</f>
        <v>78.72274376</v>
      </c>
      <c r="BB30" s="88">
        <f>IF(AP30="", BB28, (AP30*0.3) + (BB28*0.7))</f>
        <v>2936.652278</v>
      </c>
      <c r="BC30" s="88">
        <f>IF(BB30="","", BB30*0.8)</f>
        <v>2349.321822</v>
      </c>
    </row>
    <row r="31" ht="15.75" customHeight="1">
      <c r="A31" s="16"/>
      <c r="B31" s="110"/>
      <c r="C31" s="146" t="str">
        <f t="shared" si="14"/>
        <v>Cal.</v>
      </c>
      <c r="D31" s="158"/>
      <c r="E31" s="159"/>
      <c r="F31" s="159"/>
      <c r="G31" s="159"/>
      <c r="H31" s="159"/>
      <c r="I31" s="159"/>
      <c r="J31" s="160"/>
      <c r="K31" s="94" t="str">
        <f t="shared" si="6"/>
        <v/>
      </c>
      <c r="L31" s="95"/>
      <c r="M31" s="96"/>
      <c r="N31" s="149"/>
      <c r="O31" s="112"/>
      <c r="Q31" s="36"/>
      <c r="T31" s="37"/>
      <c r="U31" s="36"/>
      <c r="X31" s="113"/>
      <c r="Y31" s="109"/>
      <c r="Z31" s="80"/>
      <c r="AA31" s="81">
        <f>AA30+0.5</f>
        <v>10.5</v>
      </c>
      <c r="AB31" s="8">
        <f t="shared" si="7"/>
        <v>0</v>
      </c>
      <c r="AC31" s="7">
        <f t="shared" ref="AC31:AD31" si="40">AC30</f>
        <v>76.95714286</v>
      </c>
      <c r="AD31" s="8">
        <f t="shared" si="40"/>
        <v>77</v>
      </c>
      <c r="AE31" s="8">
        <f>IF($AE$9=0,0,(AE30+AE32)/2)</f>
        <v>79.65</v>
      </c>
      <c r="AF31" s="7" t="str">
        <f t="shared" si="16"/>
        <v/>
      </c>
      <c r="AG31" s="7" t="str">
        <f t="shared" ref="AG31:AL31" si="41">IF(E31="",AF31,E31)</f>
        <v/>
      </c>
      <c r="AH31" s="7" t="str">
        <f t="shared" si="41"/>
        <v/>
      </c>
      <c r="AI31" s="7" t="str">
        <f t="shared" si="41"/>
        <v/>
      </c>
      <c r="AJ31" s="7" t="str">
        <f t="shared" si="41"/>
        <v/>
      </c>
      <c r="AK31" s="7" t="str">
        <f t="shared" si="41"/>
        <v/>
      </c>
      <c r="AL31" s="7" t="str">
        <f t="shared" si="41"/>
        <v/>
      </c>
      <c r="AM31" s="97" t="str">
        <f t="shared" si="10"/>
        <v/>
      </c>
      <c r="AN31" s="37"/>
      <c r="AO31" s="37"/>
      <c r="AP31" s="8"/>
      <c r="AQ31" s="8"/>
      <c r="AR31" s="8"/>
      <c r="AS31" s="8"/>
      <c r="AT31" s="8"/>
      <c r="AU31" s="8"/>
      <c r="AV31" s="8"/>
      <c r="AW31" s="8"/>
      <c r="AX31" s="8"/>
    </row>
    <row r="32" ht="15.75" customHeight="1">
      <c r="A32" s="16"/>
      <c r="B32" s="98">
        <f>IF(B30="","",B30+7)</f>
        <v>46053</v>
      </c>
      <c r="C32" s="142" t="str">
        <f t="shared" si="14"/>
        <v>Weight</v>
      </c>
      <c r="D32" s="158"/>
      <c r="E32" s="159"/>
      <c r="F32" s="159"/>
      <c r="G32" s="159"/>
      <c r="H32" s="159"/>
      <c r="I32" s="159"/>
      <c r="J32" s="160"/>
      <c r="K32" s="100" t="str">
        <f t="shared" si="6"/>
        <v/>
      </c>
      <c r="L32" s="101" t="str">
        <f>IF(K32="","",AN32)</f>
        <v/>
      </c>
      <c r="M32" s="102" t="str">
        <f>IF(AM32="", "", MROUND(BB32, 10))</f>
        <v/>
      </c>
      <c r="N32" s="149"/>
      <c r="O32" s="114" t="str">
        <f>IF(M34="","",IF(K34=K26,"No Weight Change",IF(K34&gt;K26,"You Gained:","You Lost:")))</f>
        <v/>
      </c>
      <c r="P32" s="14"/>
      <c r="Q32" s="14"/>
      <c r="R32" s="14"/>
      <c r="S32" s="14"/>
      <c r="T32" s="14"/>
      <c r="U32" s="115" t="str">
        <f>IF(M34="","",IF(K34=K26,"",IF(K34&gt;K26,K34-K26,K26-K34)))</f>
        <v/>
      </c>
      <c r="V32" s="116" t="str">
        <f>IF(O32="","",IF(O32="No Weight Change","",IF($F$4="Lb","Lb",IF($F$4="Kg","Kg",""))))</f>
        <v/>
      </c>
      <c r="W32" s="14"/>
      <c r="X32" s="117"/>
      <c r="Y32" s="109"/>
      <c r="Z32" s="80"/>
      <c r="AA32" s="81">
        <f>AA30+1</f>
        <v>11</v>
      </c>
      <c r="AB32" s="8">
        <f t="shared" si="7"/>
        <v>0</v>
      </c>
      <c r="AC32" s="7">
        <f>IF(K32="",AC30,K32)</f>
        <v>76.95714286</v>
      </c>
      <c r="AD32" s="8">
        <f>AD31</f>
        <v>77</v>
      </c>
      <c r="AE32" s="64">
        <f>IF($F$6&gt;$F$7,IF(AE30&gt;AD32,AE30+$AE$9,AD32),IF($F$6&lt;$F$7,IF(AE30&lt;AD32,AE30+$AE$9,AD32),AD32))</f>
        <v>79.5</v>
      </c>
      <c r="AF32" s="7" t="str">
        <f t="shared" si="16"/>
        <v/>
      </c>
      <c r="AG32" s="7" t="str">
        <f t="shared" ref="AG32:AL32" si="42">IF(E32="",AF32,E32)</f>
        <v/>
      </c>
      <c r="AH32" s="7" t="str">
        <f t="shared" si="42"/>
        <v/>
      </c>
      <c r="AI32" s="7" t="str">
        <f t="shared" si="42"/>
        <v/>
      </c>
      <c r="AJ32" s="7" t="str">
        <f t="shared" si="42"/>
        <v/>
      </c>
      <c r="AK32" s="7" t="str">
        <f t="shared" si="42"/>
        <v/>
      </c>
      <c r="AL32" s="7" t="str">
        <f t="shared" si="42"/>
        <v/>
      </c>
      <c r="AM32" s="82" t="str">
        <f t="shared" si="10"/>
        <v/>
      </c>
      <c r="AN32" s="83" t="str">
        <f>IF(AM32="","",AM32-AM30)</f>
        <v/>
      </c>
      <c r="AO32" s="84" t="str">
        <f>IF(AP32="","",IF(AN32="","",MROUND(AP32,5)))</f>
        <v/>
      </c>
      <c r="AP32" s="85">
        <f>IF(AB33=0,$AP30,IF(AB32=0,$AP30,((K33+(((-L32)*$AQ$7)/AB33)))+M30+M28+M26+M24+M22)/6)</f>
        <v>3004.379929</v>
      </c>
      <c r="AQ32" s="8"/>
      <c r="AR32" s="8"/>
      <c r="AS32" s="8"/>
      <c r="AT32" s="8"/>
      <c r="AU32" s="8"/>
      <c r="AV32" s="8"/>
      <c r="AW32" s="8"/>
      <c r="AX32" s="8"/>
      <c r="BA32" s="88">
        <f>IF(AM32="", BA30, (AM32*0.3) + (BA30*0.7))</f>
        <v>78.72274376</v>
      </c>
      <c r="BB32" s="88">
        <f>IF(AP32="", BB30, (AP32*0.3) + (BB30*0.7))</f>
        <v>2956.970573</v>
      </c>
      <c r="BC32" s="88">
        <f>IF(BB32="","", BB32*0.8)</f>
        <v>2365.576459</v>
      </c>
    </row>
    <row r="33" ht="15.75" customHeight="1">
      <c r="A33" s="16"/>
      <c r="B33" s="110"/>
      <c r="C33" s="146" t="str">
        <f t="shared" si="14"/>
        <v>Cal.</v>
      </c>
      <c r="D33" s="158"/>
      <c r="E33" s="159"/>
      <c r="F33" s="159"/>
      <c r="G33" s="159"/>
      <c r="H33" s="159"/>
      <c r="I33" s="159"/>
      <c r="J33" s="160"/>
      <c r="K33" s="94" t="str">
        <f t="shared" si="6"/>
        <v/>
      </c>
      <c r="L33" s="95"/>
      <c r="M33" s="96"/>
      <c r="N33" s="149"/>
      <c r="O33" s="118" t="str">
        <f>IF(M34="","",IF(K34=K26,"","At a Rate Of"))</f>
        <v/>
      </c>
      <c r="P33" s="14"/>
      <c r="Q33" s="14"/>
      <c r="R33" s="14"/>
      <c r="S33" s="14"/>
      <c r="T33" s="119" t="str">
        <f>IF(O33="","",U32/4)</f>
        <v/>
      </c>
      <c r="U33" s="14"/>
      <c r="V33" s="120" t="str">
        <f>IF(O32="","",IF(O32="No Weight Change","",IF($F$4="Lb","Lb/Wk",IF($F$4="Kg","Kg/Wk",""))))</f>
        <v/>
      </c>
      <c r="W33" s="14"/>
      <c r="X33" s="117"/>
      <c r="Y33" s="109"/>
      <c r="Z33" s="80"/>
      <c r="AA33" s="81">
        <f>AA32+0.5</f>
        <v>11.5</v>
      </c>
      <c r="AB33" s="8">
        <f t="shared" si="7"/>
        <v>0</v>
      </c>
      <c r="AC33" s="7">
        <f t="shared" ref="AC33:AD33" si="43">AC32</f>
        <v>76.95714286</v>
      </c>
      <c r="AD33" s="8">
        <f t="shared" si="43"/>
        <v>77</v>
      </c>
      <c r="AE33" s="8">
        <f>IF($AE$9=0,0,(AE32+AE34)/2)</f>
        <v>79.35</v>
      </c>
      <c r="AF33" s="7" t="str">
        <f t="shared" si="16"/>
        <v/>
      </c>
      <c r="AG33" s="7" t="str">
        <f t="shared" ref="AG33:AL33" si="44">IF(E33="",AF33,E33)</f>
        <v/>
      </c>
      <c r="AH33" s="7" t="str">
        <f t="shared" si="44"/>
        <v/>
      </c>
      <c r="AI33" s="7" t="str">
        <f t="shared" si="44"/>
        <v/>
      </c>
      <c r="AJ33" s="7" t="str">
        <f t="shared" si="44"/>
        <v/>
      </c>
      <c r="AK33" s="7" t="str">
        <f t="shared" si="44"/>
        <v/>
      </c>
      <c r="AL33" s="7" t="str">
        <f t="shared" si="44"/>
        <v/>
      </c>
      <c r="AM33" s="97" t="str">
        <f t="shared" si="10"/>
        <v/>
      </c>
      <c r="AN33" s="37"/>
      <c r="AO33" s="37"/>
      <c r="AP33" s="8"/>
      <c r="AQ33" s="8"/>
      <c r="AR33" s="8"/>
      <c r="AS33" s="8"/>
      <c r="AT33" s="8"/>
      <c r="AU33" s="8"/>
      <c r="AV33" s="8"/>
      <c r="AW33" s="8"/>
      <c r="AX33" s="8"/>
    </row>
    <row r="34" ht="15.75" customHeight="1">
      <c r="A34" s="16"/>
      <c r="B34" s="98">
        <f>IF(B32="","",B32+7)</f>
        <v>46060</v>
      </c>
      <c r="C34" s="142" t="str">
        <f t="shared" si="14"/>
        <v>Weight</v>
      </c>
      <c r="D34" s="158"/>
      <c r="E34" s="159"/>
      <c r="F34" s="159"/>
      <c r="G34" s="159"/>
      <c r="H34" s="159"/>
      <c r="I34" s="159"/>
      <c r="J34" s="160"/>
      <c r="K34" s="100" t="str">
        <f t="shared" si="6"/>
        <v/>
      </c>
      <c r="L34" s="101" t="str">
        <f>IF(K34="","",AN34)</f>
        <v/>
      </c>
      <c r="M34" s="102" t="str">
        <f>IF(AM34="", "", MROUND(BB34, 10))</f>
        <v/>
      </c>
      <c r="N34" s="149"/>
      <c r="O34" s="121" t="str">
        <f>IF(T33="","","You have")</f>
        <v/>
      </c>
      <c r="P34" s="26"/>
      <c r="Q34" s="26"/>
      <c r="R34" s="26"/>
      <c r="S34" s="122" t="str">
        <f>IF(T33="","",IF(K34&gt;F23,K34-F23,F23-K34))</f>
        <v/>
      </c>
      <c r="T34" s="123" t="str">
        <f>IF(T33="","",IF(T33="No Weight Change","",IF(F20="Lb","Lb to go!",IF(F20="Kg","Kg to go!",""))))</f>
        <v/>
      </c>
      <c r="U34" s="26"/>
      <c r="V34" s="26"/>
      <c r="W34" s="26"/>
      <c r="X34" s="124"/>
      <c r="Y34" s="109"/>
      <c r="Z34" s="80"/>
      <c r="AA34" s="81">
        <f>AA32+1</f>
        <v>12</v>
      </c>
      <c r="AB34" s="8">
        <f t="shared" si="7"/>
        <v>0</v>
      </c>
      <c r="AC34" s="7">
        <f>IF(K34="",AC32,K34)</f>
        <v>76.95714286</v>
      </c>
      <c r="AD34" s="8">
        <f>AD33</f>
        <v>77</v>
      </c>
      <c r="AE34" s="64">
        <f>IF($F$6&gt;$F$7,IF(AE32&gt;AD34,AE32+$AE$9,AD34),IF($F$6&lt;$F$7,IF(AE32&lt;AD34,AE32+$AE$9,AD34),AD34))</f>
        <v>79.2</v>
      </c>
      <c r="AF34" s="7" t="str">
        <f t="shared" si="16"/>
        <v/>
      </c>
      <c r="AG34" s="7" t="str">
        <f t="shared" ref="AG34:AL34" si="45">IF(E34="",AF34,E34)</f>
        <v/>
      </c>
      <c r="AH34" s="7" t="str">
        <f t="shared" si="45"/>
        <v/>
      </c>
      <c r="AI34" s="7" t="str">
        <f t="shared" si="45"/>
        <v/>
      </c>
      <c r="AJ34" s="7" t="str">
        <f t="shared" si="45"/>
        <v/>
      </c>
      <c r="AK34" s="7" t="str">
        <f t="shared" si="45"/>
        <v/>
      </c>
      <c r="AL34" s="7" t="str">
        <f t="shared" si="45"/>
        <v/>
      </c>
      <c r="AM34" s="82" t="str">
        <f t="shared" si="10"/>
        <v/>
      </c>
      <c r="AN34" s="83" t="str">
        <f>IF(AM34="","",AM34-AM32)</f>
        <v/>
      </c>
      <c r="AO34" s="84" t="str">
        <f>IF(AP34="","",IF(AN34="","",MROUND(AP34,5)))</f>
        <v/>
      </c>
      <c r="AP34" s="85">
        <f>IF(AB35=0,$AP32,IF(AB34=0,$AP32,((K35+(((-L34)*$AQ$7)/AB35)))+M32+M30+M28+M26+M24)/6)</f>
        <v>3004.379929</v>
      </c>
      <c r="AQ34" s="8"/>
      <c r="AR34" s="8"/>
      <c r="AS34" s="8"/>
      <c r="AT34" s="8"/>
      <c r="AU34" s="8"/>
      <c r="AV34" s="8"/>
      <c r="AW34" s="8"/>
      <c r="AX34" s="8"/>
      <c r="BA34" s="88">
        <f>IF(AM34="", BA32, (AM34*0.3) + (BA32*0.7))</f>
        <v>78.72274376</v>
      </c>
      <c r="BB34" s="88">
        <f>IF(AP34="", BB32, (AP34*0.3) + (BB32*0.7))</f>
        <v>2971.19338</v>
      </c>
      <c r="BC34" s="88">
        <f>IF(BB34="","", BB34*0.8)</f>
        <v>2376.954704</v>
      </c>
    </row>
    <row r="35" ht="15.75" customHeight="1">
      <c r="A35" s="16"/>
      <c r="B35" s="150"/>
      <c r="C35" s="151" t="str">
        <f t="shared" si="14"/>
        <v>Cal.</v>
      </c>
      <c r="D35" s="162"/>
      <c r="E35" s="163"/>
      <c r="F35" s="163"/>
      <c r="G35" s="163"/>
      <c r="H35" s="163"/>
      <c r="I35" s="163"/>
      <c r="J35" s="164"/>
      <c r="K35" s="125" t="str">
        <f t="shared" si="6"/>
        <v/>
      </c>
      <c r="L35" s="126"/>
      <c r="M35" s="127"/>
      <c r="N35" s="149"/>
      <c r="O35" s="128"/>
      <c r="P35" s="129"/>
      <c r="Q35" s="129"/>
      <c r="R35" s="129"/>
      <c r="S35" s="126"/>
      <c r="T35" s="130"/>
      <c r="U35" s="129"/>
      <c r="V35" s="129"/>
      <c r="W35" s="129"/>
      <c r="X35" s="131"/>
      <c r="Y35" s="109"/>
      <c r="Z35" s="80"/>
      <c r="AA35" s="81">
        <f>AA34+0.5</f>
        <v>12.5</v>
      </c>
      <c r="AB35" s="8">
        <f t="shared" si="7"/>
        <v>0</v>
      </c>
      <c r="AC35" s="7">
        <f t="shared" ref="AC35:AD35" si="46">AC34</f>
        <v>76.95714286</v>
      </c>
      <c r="AD35" s="8">
        <f t="shared" si="46"/>
        <v>77</v>
      </c>
      <c r="AE35" s="8">
        <f>IF($AE$9=0,0,(AE34+AE36)/2)</f>
        <v>79.05</v>
      </c>
      <c r="AF35" s="7" t="str">
        <f t="shared" si="16"/>
        <v/>
      </c>
      <c r="AG35" s="7" t="str">
        <f t="shared" ref="AG35:AL35" si="47">IF(E35="",AF35,E35)</f>
        <v/>
      </c>
      <c r="AH35" s="7" t="str">
        <f t="shared" si="47"/>
        <v/>
      </c>
      <c r="AI35" s="7" t="str">
        <f t="shared" si="47"/>
        <v/>
      </c>
      <c r="AJ35" s="7" t="str">
        <f t="shared" si="47"/>
        <v/>
      </c>
      <c r="AK35" s="7" t="str">
        <f t="shared" si="47"/>
        <v/>
      </c>
      <c r="AL35" s="7" t="str">
        <f t="shared" si="47"/>
        <v/>
      </c>
      <c r="AM35" s="97" t="str">
        <f t="shared" si="10"/>
        <v/>
      </c>
      <c r="AN35" s="37"/>
      <c r="AO35" s="37"/>
      <c r="AP35" s="8"/>
      <c r="AQ35" s="8"/>
      <c r="AR35" s="8"/>
      <c r="AS35" s="8"/>
      <c r="AT35" s="8"/>
      <c r="AU35" s="8"/>
      <c r="AV35" s="8"/>
      <c r="AW35" s="8"/>
      <c r="AX35" s="8"/>
    </row>
    <row r="36" ht="15.75" customHeight="1">
      <c r="A36" s="16"/>
      <c r="B36" s="72">
        <f>IF(B34="","",B34+7)</f>
        <v>46067</v>
      </c>
      <c r="C36" s="70" t="str">
        <f t="shared" si="14"/>
        <v>Weight</v>
      </c>
      <c r="D36" s="155"/>
      <c r="E36" s="156"/>
      <c r="F36" s="156"/>
      <c r="G36" s="156"/>
      <c r="H36" s="156"/>
      <c r="I36" s="156"/>
      <c r="J36" s="157"/>
      <c r="K36" s="76" t="str">
        <f t="shared" si="6"/>
        <v/>
      </c>
      <c r="L36" s="77" t="str">
        <f>IF(K36="","",AN36)</f>
        <v/>
      </c>
      <c r="M36" s="78" t="str">
        <f>IF(AM36="", "", MROUND(BB36, 10))</f>
        <v/>
      </c>
      <c r="N36" s="149"/>
      <c r="O36" s="79"/>
      <c r="P36" s="79"/>
      <c r="Q36" s="79"/>
      <c r="R36" s="79"/>
      <c r="S36" s="50"/>
      <c r="T36" s="79"/>
      <c r="U36" s="50"/>
      <c r="V36" s="79"/>
      <c r="W36" s="79"/>
      <c r="X36" s="79"/>
      <c r="Y36" s="80"/>
      <c r="Z36" s="80"/>
      <c r="AA36" s="81">
        <f>AA34+1</f>
        <v>13</v>
      </c>
      <c r="AB36" s="8">
        <f t="shared" si="7"/>
        <v>0</v>
      </c>
      <c r="AC36" s="7">
        <f>IF(K36="",AC34,K36)</f>
        <v>76.95714286</v>
      </c>
      <c r="AD36" s="8">
        <f>AD35</f>
        <v>77</v>
      </c>
      <c r="AE36" s="64">
        <f>IF($F$6&gt;$F$7,IF(AE34&gt;AD36,AE34+$AE$9,AD36),IF($F$6&lt;$F$7,IF(AE34&lt;AD36,AE34+$AE$9,AD36),AD36))</f>
        <v>78.9</v>
      </c>
      <c r="AF36" s="7" t="str">
        <f t="shared" si="16"/>
        <v/>
      </c>
      <c r="AG36" s="7" t="str">
        <f t="shared" ref="AG36:AL36" si="48">IF(E36="",AF36,E36)</f>
        <v/>
      </c>
      <c r="AH36" s="7" t="str">
        <f t="shared" si="48"/>
        <v/>
      </c>
      <c r="AI36" s="7" t="str">
        <f t="shared" si="48"/>
        <v/>
      </c>
      <c r="AJ36" s="7" t="str">
        <f t="shared" si="48"/>
        <v/>
      </c>
      <c r="AK36" s="7" t="str">
        <f t="shared" si="48"/>
        <v/>
      </c>
      <c r="AL36" s="7" t="str">
        <f t="shared" si="48"/>
        <v/>
      </c>
      <c r="AM36" s="82" t="str">
        <f t="shared" si="10"/>
        <v/>
      </c>
      <c r="AN36" s="83" t="str">
        <f>IF(AM36="","",AM36-AM34)</f>
        <v/>
      </c>
      <c r="AO36" s="84" t="str">
        <f>IF(AP36="","",IF(AN36="","",MROUND(AP36,5)))</f>
        <v/>
      </c>
      <c r="AP36" s="85">
        <f>IF(AB37=0,$AP34,IF(AB36=0,$AP34,((K37+(((-L36)*$AQ$7)/AB37)))+M34+M32+M30+M28+M26)/6)</f>
        <v>3004.379929</v>
      </c>
      <c r="AQ36" s="8"/>
      <c r="AR36" s="8"/>
      <c r="AS36" s="8"/>
      <c r="AT36" s="8"/>
      <c r="AU36" s="8"/>
      <c r="AV36" s="8"/>
      <c r="AW36" s="8"/>
      <c r="AX36" s="8"/>
      <c r="BA36" s="88">
        <f>IF(AM36="", BA34, (AM36*0.3) + (BA34*0.7))</f>
        <v>78.72274376</v>
      </c>
      <c r="BB36" s="88">
        <f>IF(AP36="", BB34, (AP36*0.3) + (BB34*0.7))</f>
        <v>2981.149344</v>
      </c>
      <c r="BC36" s="88">
        <f>IF(BB36="","", BB36*0.8)</f>
        <v>2384.919476</v>
      </c>
    </row>
    <row r="37" ht="15.75" customHeight="1">
      <c r="A37" s="16"/>
      <c r="B37" s="110"/>
      <c r="C37" s="137" t="str">
        <f t="shared" si="14"/>
        <v>Cal.</v>
      </c>
      <c r="D37" s="158"/>
      <c r="E37" s="159"/>
      <c r="F37" s="159"/>
      <c r="G37" s="159"/>
      <c r="H37" s="159"/>
      <c r="I37" s="159"/>
      <c r="J37" s="160"/>
      <c r="K37" s="94" t="str">
        <f t="shared" si="6"/>
        <v/>
      </c>
      <c r="L37" s="95"/>
      <c r="M37" s="96"/>
      <c r="N37" s="149"/>
      <c r="O37" s="79"/>
      <c r="P37" s="79"/>
      <c r="Q37" s="79"/>
      <c r="R37" s="79"/>
      <c r="S37" s="50"/>
      <c r="T37" s="79"/>
      <c r="U37" s="50"/>
      <c r="V37" s="79"/>
      <c r="W37" s="79"/>
      <c r="X37" s="79"/>
      <c r="Y37" s="80"/>
      <c r="Z37" s="80"/>
      <c r="AA37" s="81">
        <f>AA36+0.5</f>
        <v>13.5</v>
      </c>
      <c r="AB37" s="8">
        <f t="shared" si="7"/>
        <v>0</v>
      </c>
      <c r="AC37" s="7">
        <f t="shared" ref="AC37:AD37" si="49">AC36</f>
        <v>76.95714286</v>
      </c>
      <c r="AD37" s="8">
        <f t="shared" si="49"/>
        <v>77</v>
      </c>
      <c r="AE37" s="8">
        <f>IF($AE$9=0,0,(AE36+AE38)/2)</f>
        <v>78.75</v>
      </c>
      <c r="AF37" s="7" t="str">
        <f t="shared" si="16"/>
        <v/>
      </c>
      <c r="AG37" s="7" t="str">
        <f t="shared" ref="AG37:AL37" si="50">IF(E37="",AF37,E37)</f>
        <v/>
      </c>
      <c r="AH37" s="7" t="str">
        <f t="shared" si="50"/>
        <v/>
      </c>
      <c r="AI37" s="7" t="str">
        <f t="shared" si="50"/>
        <v/>
      </c>
      <c r="AJ37" s="7" t="str">
        <f t="shared" si="50"/>
        <v/>
      </c>
      <c r="AK37" s="7" t="str">
        <f t="shared" si="50"/>
        <v/>
      </c>
      <c r="AL37" s="7" t="str">
        <f t="shared" si="50"/>
        <v/>
      </c>
      <c r="AM37" s="97" t="str">
        <f t="shared" si="10"/>
        <v/>
      </c>
      <c r="AN37" s="37"/>
      <c r="AO37" s="37"/>
      <c r="AP37" s="8"/>
      <c r="AQ37" s="8"/>
      <c r="AR37" s="8"/>
      <c r="AS37" s="8"/>
      <c r="AT37" s="8"/>
      <c r="AU37" s="8"/>
      <c r="AV37" s="8"/>
      <c r="AW37" s="8"/>
      <c r="AX37" s="8"/>
    </row>
    <row r="38" ht="15.75" customHeight="1">
      <c r="A38" s="16"/>
      <c r="B38" s="98">
        <f>IF(B36="","",B36+7)</f>
        <v>46074</v>
      </c>
      <c r="C38" s="142" t="str">
        <f t="shared" si="14"/>
        <v>Weight</v>
      </c>
      <c r="D38" s="158"/>
      <c r="E38" s="159"/>
      <c r="F38" s="159"/>
      <c r="G38" s="159"/>
      <c r="H38" s="159"/>
      <c r="I38" s="159"/>
      <c r="J38" s="160"/>
      <c r="K38" s="100" t="str">
        <f t="shared" si="6"/>
        <v/>
      </c>
      <c r="L38" s="101" t="str">
        <f>IF(K38="","",AN38)</f>
        <v/>
      </c>
      <c r="M38" s="102" t="str">
        <f>IF(AM38="", "", MROUND(BB38, 10))</f>
        <v/>
      </c>
      <c r="N38" s="149"/>
      <c r="O38" s="103" t="str">
        <f>IF(M42="","","From")</f>
        <v/>
      </c>
      <c r="P38" s="104"/>
      <c r="Q38" s="105" t="str">
        <f>IF(M42="","",B36)</f>
        <v/>
      </c>
      <c r="R38" s="104"/>
      <c r="S38" s="104"/>
      <c r="T38" s="106" t="str">
        <f>IF(M42="","","to")</f>
        <v/>
      </c>
      <c r="U38" s="107" t="str">
        <f>IF(M42="","",B42)</f>
        <v/>
      </c>
      <c r="V38" s="104"/>
      <c r="W38" s="104"/>
      <c r="X38" s="108"/>
      <c r="Y38" s="109"/>
      <c r="Z38" s="80"/>
      <c r="AA38" s="81">
        <f>AA36+1</f>
        <v>14</v>
      </c>
      <c r="AB38" s="8">
        <f t="shared" si="7"/>
        <v>0</v>
      </c>
      <c r="AC38" s="7">
        <f>IF(K38="",AC36,K38)</f>
        <v>76.95714286</v>
      </c>
      <c r="AD38" s="8">
        <f>AD37</f>
        <v>77</v>
      </c>
      <c r="AE38" s="64">
        <f>IF($F$6&gt;$F$7,IF(AE36&gt;AD38,AE36+$AE$9,AD38),IF($F$6&lt;$F$7,IF(AE36&lt;AD38,AE36+$AE$9,AD38),AD38))</f>
        <v>78.6</v>
      </c>
      <c r="AF38" s="7" t="str">
        <f t="shared" si="16"/>
        <v/>
      </c>
      <c r="AG38" s="7" t="str">
        <f t="shared" ref="AG38:AL38" si="51">IF(E38="",AF38,E38)</f>
        <v/>
      </c>
      <c r="AH38" s="7" t="str">
        <f t="shared" si="51"/>
        <v/>
      </c>
      <c r="AI38" s="7" t="str">
        <f t="shared" si="51"/>
        <v/>
      </c>
      <c r="AJ38" s="7" t="str">
        <f t="shared" si="51"/>
        <v/>
      </c>
      <c r="AK38" s="7" t="str">
        <f t="shared" si="51"/>
        <v/>
      </c>
      <c r="AL38" s="7" t="str">
        <f t="shared" si="51"/>
        <v/>
      </c>
      <c r="AM38" s="82" t="str">
        <f t="shared" si="10"/>
        <v/>
      </c>
      <c r="AN38" s="83" t="str">
        <f>IF(AM38="","",AM38-AM36)</f>
        <v/>
      </c>
      <c r="AO38" s="84" t="str">
        <f>IF(AP38="","",IF(AN38="","",MROUND(AP38,5)))</f>
        <v/>
      </c>
      <c r="AP38" s="85">
        <f>IF(AB39=0,$AP36,IF(AB38=0,$AP36,((K39+(((-L38)*$AQ$7)/AB39)))+M36+M34+M32+M30+M28)/6)</f>
        <v>3004.379929</v>
      </c>
      <c r="AQ38" s="8"/>
      <c r="AR38" s="8"/>
      <c r="AS38" s="8"/>
      <c r="AT38" s="8"/>
      <c r="AU38" s="8"/>
      <c r="AV38" s="8"/>
      <c r="AW38" s="8"/>
      <c r="AX38" s="8"/>
      <c r="BA38" s="88">
        <f>IF(AM38="", BA36, (AM38*0.3) + (BA36*0.7))</f>
        <v>78.72274376</v>
      </c>
      <c r="BB38" s="88">
        <f>IF(AP38="", BB36, (AP38*0.3) + (BB36*0.7))</f>
        <v>2988.11852</v>
      </c>
      <c r="BC38" s="88">
        <f>IF(BB38="","", BB38*0.8)</f>
        <v>2390.494816</v>
      </c>
    </row>
    <row r="39" ht="15.75" customHeight="1">
      <c r="A39" s="16"/>
      <c r="B39" s="110"/>
      <c r="C39" s="146" t="str">
        <f t="shared" si="14"/>
        <v>Cal.</v>
      </c>
      <c r="D39" s="158"/>
      <c r="E39" s="159"/>
      <c r="F39" s="159"/>
      <c r="G39" s="159"/>
      <c r="H39" s="159"/>
      <c r="I39" s="159"/>
      <c r="J39" s="160"/>
      <c r="K39" s="94" t="str">
        <f t="shared" si="6"/>
        <v/>
      </c>
      <c r="L39" s="95"/>
      <c r="M39" s="96"/>
      <c r="N39" s="149"/>
      <c r="O39" s="112"/>
      <c r="Q39" s="36"/>
      <c r="T39" s="37"/>
      <c r="U39" s="36"/>
      <c r="X39" s="113"/>
      <c r="Y39" s="109"/>
      <c r="Z39" s="80"/>
      <c r="AA39" s="81">
        <f>AA38+0.5</f>
        <v>14.5</v>
      </c>
      <c r="AB39" s="8">
        <f t="shared" si="7"/>
        <v>0</v>
      </c>
      <c r="AC39" s="7">
        <f t="shared" ref="AC39:AD39" si="52">AC38</f>
        <v>76.95714286</v>
      </c>
      <c r="AD39" s="8">
        <f t="shared" si="52"/>
        <v>77</v>
      </c>
      <c r="AE39" s="8">
        <f>IF($AE$9=0,0,(AE38+AE40)/2)</f>
        <v>78.45</v>
      </c>
      <c r="AF39" s="7" t="str">
        <f t="shared" si="16"/>
        <v/>
      </c>
      <c r="AG39" s="7" t="str">
        <f t="shared" ref="AG39:AL39" si="53">IF(E39="",AF39,E39)</f>
        <v/>
      </c>
      <c r="AH39" s="7" t="str">
        <f t="shared" si="53"/>
        <v/>
      </c>
      <c r="AI39" s="7" t="str">
        <f t="shared" si="53"/>
        <v/>
      </c>
      <c r="AJ39" s="7" t="str">
        <f t="shared" si="53"/>
        <v/>
      </c>
      <c r="AK39" s="7" t="str">
        <f t="shared" si="53"/>
        <v/>
      </c>
      <c r="AL39" s="7" t="str">
        <f t="shared" si="53"/>
        <v/>
      </c>
      <c r="AM39" s="97" t="str">
        <f t="shared" si="10"/>
        <v/>
      </c>
      <c r="AN39" s="37"/>
      <c r="AO39" s="37"/>
      <c r="AP39" s="8"/>
      <c r="AQ39" s="8"/>
      <c r="AR39" s="8"/>
      <c r="AS39" s="8"/>
      <c r="AT39" s="8"/>
      <c r="AU39" s="8"/>
      <c r="AV39" s="8"/>
      <c r="AW39" s="8"/>
      <c r="AX39" s="8"/>
    </row>
    <row r="40" ht="15.75" customHeight="1">
      <c r="A40" s="16"/>
      <c r="B40" s="98">
        <f>IF(B38="","",B38+7)</f>
        <v>46081</v>
      </c>
      <c r="C40" s="142" t="str">
        <f t="shared" si="14"/>
        <v>Weight</v>
      </c>
      <c r="D40" s="158"/>
      <c r="E40" s="159"/>
      <c r="F40" s="159"/>
      <c r="G40" s="159"/>
      <c r="H40" s="159"/>
      <c r="I40" s="159"/>
      <c r="J40" s="160"/>
      <c r="K40" s="100" t="str">
        <f t="shared" si="6"/>
        <v/>
      </c>
      <c r="L40" s="101" t="str">
        <f>IF(K40="","",AN40)</f>
        <v/>
      </c>
      <c r="M40" s="102" t="str">
        <f>IF(AM40="", "", MROUND(BB40, 10))</f>
        <v/>
      </c>
      <c r="N40" s="149"/>
      <c r="O40" s="114" t="str">
        <f>IF(M42="","",IF(K42=K34,"No Weight Change",IF(K42&gt;K34,"You Gained:","You Lost:")))</f>
        <v/>
      </c>
      <c r="P40" s="14"/>
      <c r="Q40" s="14"/>
      <c r="R40" s="14"/>
      <c r="S40" s="14"/>
      <c r="T40" s="14"/>
      <c r="U40" s="115" t="str">
        <f>IF(M42="","",IF(K42=K34,"",IF(K42&gt;K34,K42-K34,K34-K42)))</f>
        <v/>
      </c>
      <c r="V40" s="116" t="str">
        <f>IF(O40="","",IF(O40="No Weight Change","",IF($F$4="Lb","Lb",IF($F$4="Kg","Kg",""))))</f>
        <v/>
      </c>
      <c r="W40" s="14"/>
      <c r="X40" s="117"/>
      <c r="Y40" s="109"/>
      <c r="Z40" s="80"/>
      <c r="AA40" s="81">
        <f>AA38+1</f>
        <v>15</v>
      </c>
      <c r="AB40" s="8">
        <f t="shared" si="7"/>
        <v>0</v>
      </c>
      <c r="AC40" s="7">
        <f>IF(K40="",AC38,K40)</f>
        <v>76.95714286</v>
      </c>
      <c r="AD40" s="8">
        <f>AD39</f>
        <v>77</v>
      </c>
      <c r="AE40" s="64">
        <f>IF($F$6&gt;$F$7,IF(AE38&gt;AD40,AE38+$AE$9,AD40),IF($F$6&lt;$F$7,IF(AE38&lt;AD40,AE38+$AE$9,AD40),AD40))</f>
        <v>78.3</v>
      </c>
      <c r="AF40" s="7" t="str">
        <f t="shared" si="16"/>
        <v/>
      </c>
      <c r="AG40" s="7" t="str">
        <f t="shared" ref="AG40:AL40" si="54">IF(E40="",AF40,E40)</f>
        <v/>
      </c>
      <c r="AH40" s="7" t="str">
        <f t="shared" si="54"/>
        <v/>
      </c>
      <c r="AI40" s="7" t="str">
        <f t="shared" si="54"/>
        <v/>
      </c>
      <c r="AJ40" s="7" t="str">
        <f t="shared" si="54"/>
        <v/>
      </c>
      <c r="AK40" s="7" t="str">
        <f t="shared" si="54"/>
        <v/>
      </c>
      <c r="AL40" s="7" t="str">
        <f t="shared" si="54"/>
        <v/>
      </c>
      <c r="AM40" s="82" t="str">
        <f t="shared" si="10"/>
        <v/>
      </c>
      <c r="AN40" s="83" t="str">
        <f>IF(AM40="","",AM40-AM38)</f>
        <v/>
      </c>
      <c r="AO40" s="84" t="str">
        <f>IF(AP40="","",IF(AN40="","",MROUND(AP40,5)))</f>
        <v/>
      </c>
      <c r="AP40" s="85">
        <f>IF(AB41=0,$AP38,IF(AB40=0,$AP38,((K41+(((-L40)*$AQ$7)/AB41)))+M38+M36+M34+M32+M30)/6)</f>
        <v>3004.379929</v>
      </c>
      <c r="AQ40" s="8"/>
      <c r="AR40" s="8"/>
      <c r="AS40" s="8"/>
      <c r="AT40" s="8"/>
      <c r="AU40" s="8"/>
      <c r="AV40" s="8"/>
      <c r="AW40" s="8"/>
      <c r="AX40" s="8"/>
      <c r="BA40" s="88">
        <f>IF(AM40="", BA38, (AM40*0.3) + (BA38*0.7))</f>
        <v>78.72274376</v>
      </c>
      <c r="BB40" s="88">
        <f>IF(AP40="", BB38, (AP40*0.3) + (BB38*0.7))</f>
        <v>2992.996942</v>
      </c>
      <c r="BC40" s="88">
        <f>IF(BB40="","", BB40*0.8)</f>
        <v>2394.397554</v>
      </c>
    </row>
    <row r="41" ht="15.75" customHeight="1">
      <c r="A41" s="16"/>
      <c r="B41" s="110"/>
      <c r="C41" s="146" t="str">
        <f t="shared" si="14"/>
        <v>Cal.</v>
      </c>
      <c r="D41" s="158"/>
      <c r="E41" s="159"/>
      <c r="F41" s="159"/>
      <c r="G41" s="159"/>
      <c r="H41" s="159"/>
      <c r="I41" s="159"/>
      <c r="J41" s="160"/>
      <c r="K41" s="94" t="str">
        <f t="shared" si="6"/>
        <v/>
      </c>
      <c r="L41" s="95"/>
      <c r="M41" s="96"/>
      <c r="N41" s="149"/>
      <c r="O41" s="118" t="str">
        <f>IF(M42="","",IF(K42=K34,"","At a Rate Of"))</f>
        <v/>
      </c>
      <c r="P41" s="14"/>
      <c r="Q41" s="14"/>
      <c r="R41" s="14"/>
      <c r="S41" s="14"/>
      <c r="T41" s="119" t="str">
        <f>IF(O41="","",U40/4)</f>
        <v/>
      </c>
      <c r="U41" s="14"/>
      <c r="V41" s="120" t="str">
        <f>IF(O40="","",IF(O40="No Weight Change","",IF($F$4="Lb","Lb/Wk",IF($F$4="Kg","Kg/Wk",""))))</f>
        <v/>
      </c>
      <c r="W41" s="14"/>
      <c r="X41" s="117"/>
      <c r="Y41" s="109"/>
      <c r="Z41" s="80"/>
      <c r="AA41" s="81">
        <f>AA40+0.5</f>
        <v>15.5</v>
      </c>
      <c r="AB41" s="8">
        <f t="shared" si="7"/>
        <v>0</v>
      </c>
      <c r="AC41" s="7">
        <f t="shared" ref="AC41:AD41" si="55">AC40</f>
        <v>76.95714286</v>
      </c>
      <c r="AD41" s="8">
        <f t="shared" si="55"/>
        <v>77</v>
      </c>
      <c r="AE41" s="8">
        <f>IF($AE$9=0,0,(AE40+AE42)/2)</f>
        <v>78.15</v>
      </c>
      <c r="AF41" s="7" t="str">
        <f t="shared" si="16"/>
        <v/>
      </c>
      <c r="AG41" s="7" t="str">
        <f t="shared" ref="AG41:AL41" si="56">IF(E41="",AF41,E41)</f>
        <v/>
      </c>
      <c r="AH41" s="7" t="str">
        <f t="shared" si="56"/>
        <v/>
      </c>
      <c r="AI41" s="7" t="str">
        <f t="shared" si="56"/>
        <v/>
      </c>
      <c r="AJ41" s="7" t="str">
        <f t="shared" si="56"/>
        <v/>
      </c>
      <c r="AK41" s="7" t="str">
        <f t="shared" si="56"/>
        <v/>
      </c>
      <c r="AL41" s="7" t="str">
        <f t="shared" si="56"/>
        <v/>
      </c>
      <c r="AM41" s="97" t="str">
        <f t="shared" si="10"/>
        <v/>
      </c>
      <c r="AN41" s="37"/>
      <c r="AO41" s="37"/>
      <c r="AP41" s="8"/>
      <c r="AQ41" s="8"/>
      <c r="AR41" s="8"/>
      <c r="AS41" s="8"/>
      <c r="AT41" s="8"/>
      <c r="AU41" s="8"/>
      <c r="AV41" s="8"/>
      <c r="AW41" s="8"/>
      <c r="AX41" s="8"/>
    </row>
    <row r="42" ht="15.75" customHeight="1">
      <c r="A42" s="16"/>
      <c r="B42" s="98">
        <f>IF(B40="","",B40+7)</f>
        <v>46088</v>
      </c>
      <c r="C42" s="142" t="str">
        <f t="shared" si="14"/>
        <v>Weight</v>
      </c>
      <c r="D42" s="158"/>
      <c r="E42" s="159"/>
      <c r="F42" s="159"/>
      <c r="G42" s="159"/>
      <c r="H42" s="159"/>
      <c r="I42" s="159"/>
      <c r="J42" s="160"/>
      <c r="K42" s="100" t="str">
        <f t="shared" si="6"/>
        <v/>
      </c>
      <c r="L42" s="101" t="str">
        <f>IF(K42="","",AN42)</f>
        <v/>
      </c>
      <c r="M42" s="102" t="str">
        <f>IF(AM42="", "", MROUND(BB42, 10))</f>
        <v/>
      </c>
      <c r="N42" s="149"/>
      <c r="O42" s="121" t="str">
        <f>IF(T41="","","You have")</f>
        <v/>
      </c>
      <c r="P42" s="26"/>
      <c r="Q42" s="26"/>
      <c r="R42" s="26"/>
      <c r="S42" s="122" t="str">
        <f>IF(T41="","",IF(K42&gt;F31,K42-F31,F31-K42))</f>
        <v/>
      </c>
      <c r="T42" s="123" t="str">
        <f>IF(T41="","",IF(T41="No Weight Change","",IF(F28="Lb","Lb to go!",IF(F28="Kg","Kg to go!",""))))</f>
        <v/>
      </c>
      <c r="U42" s="26"/>
      <c r="V42" s="26"/>
      <c r="W42" s="26"/>
      <c r="X42" s="124"/>
      <c r="Y42" s="109"/>
      <c r="Z42" s="80"/>
      <c r="AA42" s="81">
        <f>AA40+1</f>
        <v>16</v>
      </c>
      <c r="AB42" s="8">
        <f t="shared" si="7"/>
        <v>0</v>
      </c>
      <c r="AC42" s="7">
        <f>IF(K42="",AC40,K42)</f>
        <v>76.95714286</v>
      </c>
      <c r="AD42" s="8">
        <f>AD41</f>
        <v>77</v>
      </c>
      <c r="AE42" s="64">
        <f>IF($F$6&gt;$F$7,IF(AE40&gt;AD42,AE40+$AE$9,AD42),IF($F$6&lt;$F$7,IF(AE40&lt;AD42,AE40+$AE$9,AD42),AD42))</f>
        <v>78</v>
      </c>
      <c r="AF42" s="7" t="str">
        <f t="shared" si="16"/>
        <v/>
      </c>
      <c r="AG42" s="7" t="str">
        <f t="shared" ref="AG42:AL42" si="57">IF(E42="",AF42,E42)</f>
        <v/>
      </c>
      <c r="AH42" s="7" t="str">
        <f t="shared" si="57"/>
        <v/>
      </c>
      <c r="AI42" s="7" t="str">
        <f t="shared" si="57"/>
        <v/>
      </c>
      <c r="AJ42" s="7" t="str">
        <f t="shared" si="57"/>
        <v/>
      </c>
      <c r="AK42" s="7" t="str">
        <f t="shared" si="57"/>
        <v/>
      </c>
      <c r="AL42" s="7" t="str">
        <f t="shared" si="57"/>
        <v/>
      </c>
      <c r="AM42" s="82" t="str">
        <f t="shared" si="10"/>
        <v/>
      </c>
      <c r="AN42" s="83" t="str">
        <f>IF(AM42="","",AM42-AM40)</f>
        <v/>
      </c>
      <c r="AO42" s="84" t="str">
        <f>IF(AP42="","",IF(AN42="","",MROUND(AP42,5)))</f>
        <v/>
      </c>
      <c r="AP42" s="85">
        <f>IF(AB43=0,$AP40,IF(AB42=0,$AP40,((K43+(((-L42)*$AQ$7)/AB43)))+M40+M38+M36+M34+M32)/6)</f>
        <v>3004.379929</v>
      </c>
      <c r="AQ42" s="8"/>
      <c r="AR42" s="8"/>
      <c r="AS42" s="8"/>
      <c r="AT42" s="8"/>
      <c r="AU42" s="8"/>
      <c r="AV42" s="8"/>
      <c r="AW42" s="8"/>
      <c r="AX42" s="8"/>
      <c r="BA42" s="88">
        <f>IF(AM42="", BA40, (AM42*0.3) + (BA40*0.7))</f>
        <v>78.72274376</v>
      </c>
      <c r="BB42" s="88">
        <f>IF(AP42="", BB40, (AP42*0.3) + (BB40*0.7))</f>
        <v>2996.411838</v>
      </c>
      <c r="BC42" s="88">
        <f>IF(BB42="","", BB42*0.8)</f>
        <v>2397.129471</v>
      </c>
    </row>
    <row r="43" ht="15.75" customHeight="1">
      <c r="A43" s="16"/>
      <c r="B43" s="150"/>
      <c r="C43" s="151" t="str">
        <f t="shared" si="14"/>
        <v>Cal.</v>
      </c>
      <c r="D43" s="162"/>
      <c r="E43" s="163"/>
      <c r="F43" s="163"/>
      <c r="G43" s="163"/>
      <c r="H43" s="163"/>
      <c r="I43" s="163"/>
      <c r="J43" s="164"/>
      <c r="K43" s="125" t="str">
        <f t="shared" si="6"/>
        <v/>
      </c>
      <c r="L43" s="126"/>
      <c r="M43" s="127"/>
      <c r="N43" s="149"/>
      <c r="O43" s="128"/>
      <c r="P43" s="129"/>
      <c r="Q43" s="129"/>
      <c r="R43" s="129"/>
      <c r="S43" s="126"/>
      <c r="T43" s="130"/>
      <c r="U43" s="129"/>
      <c r="V43" s="129"/>
      <c r="W43" s="129"/>
      <c r="X43" s="131"/>
      <c r="Y43" s="109"/>
      <c r="Z43" s="80"/>
      <c r="AA43" s="81">
        <f>AA42+0.5</f>
        <v>16.5</v>
      </c>
      <c r="AB43" s="8">
        <f t="shared" si="7"/>
        <v>0</v>
      </c>
      <c r="AC43" s="7">
        <f t="shared" ref="AC43:AD43" si="58">AC42</f>
        <v>76.95714286</v>
      </c>
      <c r="AD43" s="8">
        <f t="shared" si="58"/>
        <v>77</v>
      </c>
      <c r="AE43" s="8">
        <f>IF($AE$9=0,0,(AE42+AE44)/2)</f>
        <v>77.85</v>
      </c>
      <c r="AF43" s="7" t="str">
        <f t="shared" si="16"/>
        <v/>
      </c>
      <c r="AG43" s="7" t="str">
        <f t="shared" ref="AG43:AL43" si="59">IF(E43="",AF43,E43)</f>
        <v/>
      </c>
      <c r="AH43" s="7" t="str">
        <f t="shared" si="59"/>
        <v/>
      </c>
      <c r="AI43" s="7" t="str">
        <f t="shared" si="59"/>
        <v/>
      </c>
      <c r="AJ43" s="7" t="str">
        <f t="shared" si="59"/>
        <v/>
      </c>
      <c r="AK43" s="7" t="str">
        <f t="shared" si="59"/>
        <v/>
      </c>
      <c r="AL43" s="7" t="str">
        <f t="shared" si="59"/>
        <v/>
      </c>
      <c r="AM43" s="97" t="str">
        <f t="shared" si="10"/>
        <v/>
      </c>
      <c r="AN43" s="37"/>
      <c r="AO43" s="37"/>
      <c r="AP43" s="8"/>
      <c r="AQ43" s="8"/>
      <c r="AR43" s="8"/>
      <c r="AS43" s="8"/>
      <c r="AT43" s="8"/>
      <c r="AU43" s="8"/>
      <c r="AV43" s="8"/>
      <c r="AW43" s="8"/>
      <c r="AX43" s="8"/>
    </row>
    <row r="44" ht="15.75" customHeight="1">
      <c r="A44" s="16"/>
      <c r="B44" s="72">
        <f>IF(B42="","",B42+7)</f>
        <v>46095</v>
      </c>
      <c r="C44" s="70" t="str">
        <f t="shared" si="14"/>
        <v>Weight</v>
      </c>
      <c r="D44" s="155"/>
      <c r="E44" s="156"/>
      <c r="F44" s="156"/>
      <c r="G44" s="156"/>
      <c r="H44" s="156"/>
      <c r="I44" s="156"/>
      <c r="J44" s="157"/>
      <c r="K44" s="76" t="str">
        <f t="shared" si="6"/>
        <v/>
      </c>
      <c r="L44" s="77" t="str">
        <f>IF(K44="","",AN44)</f>
        <v/>
      </c>
      <c r="M44" s="78" t="str">
        <f>IF(AM44="", "", MROUND(BB44, 10))</f>
        <v/>
      </c>
      <c r="N44" s="149"/>
      <c r="O44" s="79"/>
      <c r="P44" s="79"/>
      <c r="Q44" s="79"/>
      <c r="R44" s="79"/>
      <c r="S44" s="50"/>
      <c r="T44" s="79"/>
      <c r="U44" s="50"/>
      <c r="V44" s="79"/>
      <c r="W44" s="79"/>
      <c r="X44" s="79"/>
      <c r="Y44" s="80"/>
      <c r="Z44" s="80"/>
      <c r="AA44" s="81">
        <f>AA42+1</f>
        <v>17</v>
      </c>
      <c r="AB44" s="8">
        <f t="shared" si="7"/>
        <v>0</v>
      </c>
      <c r="AC44" s="7">
        <f>IF(K44="",AC42,K44)</f>
        <v>76.95714286</v>
      </c>
      <c r="AD44" s="8">
        <f>AD43</f>
        <v>77</v>
      </c>
      <c r="AE44" s="64">
        <f>IF($F$6&gt;$F$7,IF(AE42&gt;AD44,AE42+$AE$9,AD44),IF($F$6&lt;$F$7,IF(AE42&lt;AD44,AE42+$AE$9,AD44),AD44))</f>
        <v>77.7</v>
      </c>
      <c r="AF44" s="7" t="str">
        <f t="shared" si="16"/>
        <v/>
      </c>
      <c r="AG44" s="7" t="str">
        <f t="shared" ref="AG44:AL44" si="60">IF(E44="",AF44,E44)</f>
        <v/>
      </c>
      <c r="AH44" s="7" t="str">
        <f t="shared" si="60"/>
        <v/>
      </c>
      <c r="AI44" s="7" t="str">
        <f t="shared" si="60"/>
        <v/>
      </c>
      <c r="AJ44" s="7" t="str">
        <f t="shared" si="60"/>
        <v/>
      </c>
      <c r="AK44" s="7" t="str">
        <f t="shared" si="60"/>
        <v/>
      </c>
      <c r="AL44" s="7" t="str">
        <f t="shared" si="60"/>
        <v/>
      </c>
      <c r="AM44" s="82" t="str">
        <f t="shared" si="10"/>
        <v/>
      </c>
      <c r="AN44" s="83" t="str">
        <f>IF(AM44="","",AM44-AM42)</f>
        <v/>
      </c>
      <c r="AO44" s="84" t="str">
        <f>IF(AP44="","",IF(AN44="","",MROUND(AP44,5)))</f>
        <v/>
      </c>
      <c r="AP44" s="85">
        <f>IF(AB45=0,$AP42,IF(AB44=0,$AP42,((K45+(((-L44)*$AQ$7)/AB45)))+M42+M40+M38+M36+M34)/6)</f>
        <v>3004.379929</v>
      </c>
      <c r="AQ44" s="8"/>
      <c r="AR44" s="8"/>
      <c r="AS44" s="8"/>
      <c r="AT44" s="8"/>
      <c r="AU44" s="8"/>
      <c r="AV44" s="8"/>
      <c r="AW44" s="8"/>
      <c r="AX44" s="8"/>
      <c r="BA44" s="88">
        <f>IF(AM44="", BA42, (AM44*0.3) + (BA42*0.7))</f>
        <v>78.72274376</v>
      </c>
      <c r="BB44" s="88">
        <f>IF(AP44="", BB42, (AP44*0.3) + (BB42*0.7))</f>
        <v>2998.802265</v>
      </c>
      <c r="BC44" s="88">
        <f>IF(BB44="","", BB44*0.8)</f>
        <v>2399.041812</v>
      </c>
    </row>
    <row r="45" ht="15.75" customHeight="1">
      <c r="A45" s="16"/>
      <c r="B45" s="110"/>
      <c r="C45" s="137" t="str">
        <f t="shared" si="14"/>
        <v>Cal.</v>
      </c>
      <c r="D45" s="158"/>
      <c r="E45" s="159"/>
      <c r="F45" s="159"/>
      <c r="G45" s="159"/>
      <c r="H45" s="159"/>
      <c r="I45" s="159"/>
      <c r="J45" s="160"/>
      <c r="K45" s="94" t="str">
        <f t="shared" si="6"/>
        <v/>
      </c>
      <c r="L45" s="95"/>
      <c r="M45" s="96"/>
      <c r="N45" s="149"/>
      <c r="O45" s="79"/>
      <c r="P45" s="79"/>
      <c r="Q45" s="79"/>
      <c r="R45" s="79"/>
      <c r="S45" s="50"/>
      <c r="T45" s="79"/>
      <c r="U45" s="50"/>
      <c r="V45" s="79"/>
      <c r="W45" s="79"/>
      <c r="X45" s="79"/>
      <c r="Y45" s="80"/>
      <c r="Z45" s="80"/>
      <c r="AA45" s="81">
        <f>AA44+0.5</f>
        <v>17.5</v>
      </c>
      <c r="AB45" s="8">
        <f t="shared" si="7"/>
        <v>0</v>
      </c>
      <c r="AC45" s="7">
        <f t="shared" ref="AC45:AD45" si="61">AC44</f>
        <v>76.95714286</v>
      </c>
      <c r="AD45" s="8">
        <f t="shared" si="61"/>
        <v>77</v>
      </c>
      <c r="AE45" s="8">
        <f>IF($AE$9=0,0,(AE44+AE46)/2)</f>
        <v>77.55</v>
      </c>
      <c r="AF45" s="7" t="str">
        <f t="shared" si="16"/>
        <v/>
      </c>
      <c r="AG45" s="7" t="str">
        <f t="shared" ref="AG45:AL45" si="62">IF(E45="",AF45,E45)</f>
        <v/>
      </c>
      <c r="AH45" s="7" t="str">
        <f t="shared" si="62"/>
        <v/>
      </c>
      <c r="AI45" s="7" t="str">
        <f t="shared" si="62"/>
        <v/>
      </c>
      <c r="AJ45" s="7" t="str">
        <f t="shared" si="62"/>
        <v/>
      </c>
      <c r="AK45" s="7" t="str">
        <f t="shared" si="62"/>
        <v/>
      </c>
      <c r="AL45" s="7" t="str">
        <f t="shared" si="62"/>
        <v/>
      </c>
      <c r="AM45" s="97" t="str">
        <f t="shared" si="10"/>
        <v/>
      </c>
      <c r="AN45" s="37"/>
      <c r="AO45" s="37"/>
      <c r="AP45" s="8"/>
      <c r="AQ45" s="8"/>
      <c r="AR45" s="8"/>
      <c r="AS45" s="8"/>
      <c r="AT45" s="8"/>
      <c r="AU45" s="8"/>
      <c r="AV45" s="8"/>
      <c r="AW45" s="8"/>
      <c r="AX45" s="8"/>
    </row>
    <row r="46" ht="15.75" customHeight="1">
      <c r="A46" s="16"/>
      <c r="B46" s="98">
        <f>IF(B44="","",B44+7)</f>
        <v>46102</v>
      </c>
      <c r="C46" s="142" t="str">
        <f t="shared" si="14"/>
        <v>Weight</v>
      </c>
      <c r="D46" s="158"/>
      <c r="E46" s="159"/>
      <c r="F46" s="159"/>
      <c r="G46" s="159"/>
      <c r="H46" s="159"/>
      <c r="I46" s="159"/>
      <c r="J46" s="160"/>
      <c r="K46" s="100" t="str">
        <f t="shared" si="6"/>
        <v/>
      </c>
      <c r="L46" s="101" t="str">
        <f>IF(K46="","",AN46)</f>
        <v/>
      </c>
      <c r="M46" s="102" t="str">
        <f>IF(AM46="", "", MROUND(BB46, 10))</f>
        <v/>
      </c>
      <c r="N46" s="149"/>
      <c r="O46" s="103" t="str">
        <f>IF(M50="","","From")</f>
        <v/>
      </c>
      <c r="P46" s="104"/>
      <c r="Q46" s="105" t="str">
        <f>IF(M50="","",B44)</f>
        <v/>
      </c>
      <c r="R46" s="104"/>
      <c r="S46" s="104"/>
      <c r="T46" s="106" t="str">
        <f>IF(M50="","","to")</f>
        <v/>
      </c>
      <c r="U46" s="107" t="str">
        <f>IF(M50="","",B50)</f>
        <v/>
      </c>
      <c r="V46" s="104"/>
      <c r="W46" s="104"/>
      <c r="X46" s="108"/>
      <c r="Y46" s="109"/>
      <c r="Z46" s="80"/>
      <c r="AA46" s="81">
        <f>AA44+1</f>
        <v>18</v>
      </c>
      <c r="AB46" s="8">
        <f t="shared" si="7"/>
        <v>0</v>
      </c>
      <c r="AC46" s="7">
        <f>IF(K46="",AC44,K46)</f>
        <v>76.95714286</v>
      </c>
      <c r="AD46" s="8">
        <f>AD45</f>
        <v>77</v>
      </c>
      <c r="AE46" s="64">
        <f>IF($F$6&gt;$F$7,IF(AE44&gt;AD46,AE44+$AE$9,AD46),IF($F$6&lt;$F$7,IF(AE44&lt;AD46,AE44+$AE$9,AD46),AD46))</f>
        <v>77.4</v>
      </c>
      <c r="AF46" s="7" t="str">
        <f t="shared" si="16"/>
        <v/>
      </c>
      <c r="AG46" s="7" t="str">
        <f t="shared" ref="AG46:AL46" si="63">IF(E46="",AF46,E46)</f>
        <v/>
      </c>
      <c r="AH46" s="7" t="str">
        <f t="shared" si="63"/>
        <v/>
      </c>
      <c r="AI46" s="7" t="str">
        <f t="shared" si="63"/>
        <v/>
      </c>
      <c r="AJ46" s="7" t="str">
        <f t="shared" si="63"/>
        <v/>
      </c>
      <c r="AK46" s="7" t="str">
        <f t="shared" si="63"/>
        <v/>
      </c>
      <c r="AL46" s="7" t="str">
        <f t="shared" si="63"/>
        <v/>
      </c>
      <c r="AM46" s="82" t="str">
        <f t="shared" si="10"/>
        <v/>
      </c>
      <c r="AN46" s="83" t="str">
        <f>IF(AM46="","",AM46-AM44)</f>
        <v/>
      </c>
      <c r="AO46" s="84" t="str">
        <f>IF(AP46="","",IF(AN46="","",MROUND(AP46,5)))</f>
        <v/>
      </c>
      <c r="AP46" s="85">
        <f>IF(AB47=0,$AP44,IF(AB46=0,$AP44,((K47+(((-L46)*$AQ$7)/AB47)))+M44+M42+M40+M38+M36)/6)</f>
        <v>3004.379929</v>
      </c>
      <c r="AQ46" s="8"/>
      <c r="AR46" s="8"/>
      <c r="AS46" s="8"/>
      <c r="AT46" s="8"/>
      <c r="AU46" s="8"/>
      <c r="AV46" s="8"/>
      <c r="AW46" s="8"/>
      <c r="AX46" s="8"/>
      <c r="BA46" s="88">
        <f>IF(AM46="", BA44, (AM46*0.3) + (BA44*0.7))</f>
        <v>78.72274376</v>
      </c>
      <c r="BB46" s="88">
        <f>IF(AP46="", BB44, (AP46*0.3) + (BB44*0.7))</f>
        <v>3000.475564</v>
      </c>
      <c r="BC46" s="88">
        <f>IF(BB46="","", BB46*0.8)</f>
        <v>2400.380451</v>
      </c>
    </row>
    <row r="47" ht="15.75" customHeight="1">
      <c r="A47" s="16"/>
      <c r="B47" s="110"/>
      <c r="C47" s="146" t="str">
        <f t="shared" si="14"/>
        <v>Cal.</v>
      </c>
      <c r="D47" s="158"/>
      <c r="E47" s="159"/>
      <c r="F47" s="159"/>
      <c r="G47" s="159"/>
      <c r="H47" s="159"/>
      <c r="I47" s="159"/>
      <c r="J47" s="160"/>
      <c r="K47" s="94" t="str">
        <f t="shared" si="6"/>
        <v/>
      </c>
      <c r="L47" s="95"/>
      <c r="M47" s="96"/>
      <c r="N47" s="149"/>
      <c r="O47" s="112"/>
      <c r="Q47" s="36"/>
      <c r="T47" s="37"/>
      <c r="U47" s="36"/>
      <c r="X47" s="113"/>
      <c r="Y47" s="109"/>
      <c r="Z47" s="80"/>
      <c r="AA47" s="81">
        <f>AA46+0.5</f>
        <v>18.5</v>
      </c>
      <c r="AB47" s="8">
        <f t="shared" si="7"/>
        <v>0</v>
      </c>
      <c r="AC47" s="7">
        <f t="shared" ref="AC47:AD47" si="64">AC46</f>
        <v>76.95714286</v>
      </c>
      <c r="AD47" s="8">
        <f t="shared" si="64"/>
        <v>77</v>
      </c>
      <c r="AE47" s="8">
        <f>IF($AE$9=0,0,(AE46+AE48)/2)</f>
        <v>77.25</v>
      </c>
      <c r="AF47" s="7" t="str">
        <f t="shared" si="16"/>
        <v/>
      </c>
      <c r="AG47" s="7" t="str">
        <f t="shared" ref="AG47:AL47" si="65">IF(E47="",AF47,E47)</f>
        <v/>
      </c>
      <c r="AH47" s="7" t="str">
        <f t="shared" si="65"/>
        <v/>
      </c>
      <c r="AI47" s="7" t="str">
        <f t="shared" si="65"/>
        <v/>
      </c>
      <c r="AJ47" s="7" t="str">
        <f t="shared" si="65"/>
        <v/>
      </c>
      <c r="AK47" s="7" t="str">
        <f t="shared" si="65"/>
        <v/>
      </c>
      <c r="AL47" s="7" t="str">
        <f t="shared" si="65"/>
        <v/>
      </c>
      <c r="AM47" s="97" t="str">
        <f t="shared" si="10"/>
        <v/>
      </c>
      <c r="AN47" s="37"/>
      <c r="AO47" s="37"/>
      <c r="AP47" s="8"/>
      <c r="AQ47" s="8"/>
      <c r="AR47" s="8"/>
      <c r="AS47" s="8"/>
      <c r="AT47" s="8"/>
      <c r="AU47" s="8"/>
      <c r="AV47" s="8"/>
      <c r="AW47" s="8"/>
      <c r="AX47" s="8"/>
    </row>
    <row r="48" ht="15.75" customHeight="1">
      <c r="A48" s="16"/>
      <c r="B48" s="98">
        <f>IF(B46="","",B46+7)</f>
        <v>46109</v>
      </c>
      <c r="C48" s="142" t="str">
        <f t="shared" si="14"/>
        <v>Weight</v>
      </c>
      <c r="D48" s="158"/>
      <c r="E48" s="159"/>
      <c r="F48" s="159"/>
      <c r="G48" s="159"/>
      <c r="H48" s="159"/>
      <c r="I48" s="159"/>
      <c r="J48" s="160"/>
      <c r="K48" s="100" t="str">
        <f t="shared" si="6"/>
        <v/>
      </c>
      <c r="L48" s="101" t="str">
        <f>IF(K48="","",AN48)</f>
        <v/>
      </c>
      <c r="M48" s="102" t="str">
        <f>IF(AM48="", "", MROUND(BB48, 10))</f>
        <v/>
      </c>
      <c r="N48" s="149"/>
      <c r="O48" s="114" t="str">
        <f>IF(M50="","",IF(K50=K42,"No Weight Change",IF(K50&gt;K42,"You Gained:","You Lost:")))</f>
        <v/>
      </c>
      <c r="P48" s="14"/>
      <c r="Q48" s="14"/>
      <c r="R48" s="14"/>
      <c r="S48" s="14"/>
      <c r="T48" s="14"/>
      <c r="U48" s="115" t="str">
        <f>IF(M50="","",IF(K50=K42,"",IF(K50&gt;K42,K50-K42,K42-K50)))</f>
        <v/>
      </c>
      <c r="V48" s="116" t="str">
        <f>IF(O48="","",IF(O48="No Weight Change","",IF($F$4="Lb","Lb",IF($F$4="Kg","Kg",""))))</f>
        <v/>
      </c>
      <c r="W48" s="14"/>
      <c r="X48" s="117"/>
      <c r="Y48" s="109"/>
      <c r="Z48" s="80"/>
      <c r="AA48" s="81">
        <f>AA46+1</f>
        <v>19</v>
      </c>
      <c r="AB48" s="8">
        <f t="shared" si="7"/>
        <v>0</v>
      </c>
      <c r="AC48" s="7">
        <f>IF(K48="",AC46,K48)</f>
        <v>76.95714286</v>
      </c>
      <c r="AD48" s="8">
        <f>AD47</f>
        <v>77</v>
      </c>
      <c r="AE48" s="64">
        <f>IF($F$6&gt;$F$7,IF(AE46&gt;AD48,AE46+$AE$9,AD48),IF($F$6&lt;$F$7,IF(AE46&lt;AD48,AE46+$AE$9,AD48),AD48))</f>
        <v>77.1</v>
      </c>
      <c r="AF48" s="7" t="str">
        <f t="shared" si="16"/>
        <v/>
      </c>
      <c r="AG48" s="7" t="str">
        <f t="shared" ref="AG48:AL48" si="66">IF(E48="",AF48,E48)</f>
        <v/>
      </c>
      <c r="AH48" s="7" t="str">
        <f t="shared" si="66"/>
        <v/>
      </c>
      <c r="AI48" s="7" t="str">
        <f t="shared" si="66"/>
        <v/>
      </c>
      <c r="AJ48" s="7" t="str">
        <f t="shared" si="66"/>
        <v/>
      </c>
      <c r="AK48" s="7" t="str">
        <f t="shared" si="66"/>
        <v/>
      </c>
      <c r="AL48" s="7" t="str">
        <f t="shared" si="66"/>
        <v/>
      </c>
      <c r="AM48" s="82" t="str">
        <f t="shared" si="10"/>
        <v/>
      </c>
      <c r="AN48" s="83" t="str">
        <f>IF(AM48="","",AM48-AM46)</f>
        <v/>
      </c>
      <c r="AO48" s="84" t="str">
        <f>IF(AP48="","",IF(AN48="","",MROUND(AP48,5)))</f>
        <v/>
      </c>
      <c r="AP48" s="85">
        <f>IF(AB49=0,$AP46,IF(AB48=0,$AP46,((K49+(((-L48)*$AQ$7)/AB49)))+M46+M44+M42+M40+M38)/6)</f>
        <v>3004.379929</v>
      </c>
      <c r="AQ48" s="8"/>
      <c r="AR48" s="8"/>
      <c r="AS48" s="8"/>
      <c r="AT48" s="8"/>
      <c r="AU48" s="8"/>
      <c r="AV48" s="8"/>
      <c r="AW48" s="8"/>
      <c r="AX48" s="8"/>
      <c r="BA48" s="88">
        <f>IF(AM48="", BA46, (AM48*0.3) + (BA46*0.7))</f>
        <v>78.72274376</v>
      </c>
      <c r="BB48" s="88">
        <f>IF(AP48="", BB46, (AP48*0.3) + (BB46*0.7))</f>
        <v>3001.646874</v>
      </c>
      <c r="BC48" s="88">
        <f>IF(BB48="","", BB48*0.8)</f>
        <v>2401.317499</v>
      </c>
    </row>
    <row r="49" ht="15.75" customHeight="1">
      <c r="A49" s="16"/>
      <c r="B49" s="110"/>
      <c r="C49" s="146" t="str">
        <f t="shared" si="14"/>
        <v>Cal.</v>
      </c>
      <c r="D49" s="158"/>
      <c r="E49" s="159"/>
      <c r="F49" s="159"/>
      <c r="G49" s="159"/>
      <c r="H49" s="159"/>
      <c r="I49" s="159"/>
      <c r="J49" s="160"/>
      <c r="K49" s="94" t="str">
        <f t="shared" si="6"/>
        <v/>
      </c>
      <c r="L49" s="95"/>
      <c r="M49" s="96"/>
      <c r="N49" s="149"/>
      <c r="O49" s="118" t="str">
        <f>IF(M50="","",IF(K50=K42,"","At a Rate Of"))</f>
        <v/>
      </c>
      <c r="P49" s="14"/>
      <c r="Q49" s="14"/>
      <c r="R49" s="14"/>
      <c r="S49" s="14"/>
      <c r="T49" s="119" t="str">
        <f>IF(O49="","",U48/4)</f>
        <v/>
      </c>
      <c r="U49" s="14"/>
      <c r="V49" s="120" t="str">
        <f>IF(O48="","",IF(O48="No Weight Change","",IF($F$4="Lb","Lb/Wk",IF($F$4="Kg","Kg/Wk",""))))</f>
        <v/>
      </c>
      <c r="W49" s="14"/>
      <c r="X49" s="117"/>
      <c r="Y49" s="109"/>
      <c r="Z49" s="80"/>
      <c r="AA49" s="81">
        <f>AA48+0.5</f>
        <v>19.5</v>
      </c>
      <c r="AB49" s="8">
        <f t="shared" si="7"/>
        <v>0</v>
      </c>
      <c r="AC49" s="7">
        <f t="shared" ref="AC49:AD49" si="67">AC48</f>
        <v>76.95714286</v>
      </c>
      <c r="AD49" s="8">
        <f t="shared" si="67"/>
        <v>77</v>
      </c>
      <c r="AE49" s="8">
        <f>IF($AE$9=0,0,(AE48+AE50)/2)</f>
        <v>76.95</v>
      </c>
      <c r="AF49" s="7" t="str">
        <f t="shared" si="16"/>
        <v/>
      </c>
      <c r="AG49" s="7" t="str">
        <f t="shared" ref="AG49:AL49" si="68">IF(E49="",AF49,E49)</f>
        <v/>
      </c>
      <c r="AH49" s="7" t="str">
        <f t="shared" si="68"/>
        <v/>
      </c>
      <c r="AI49" s="7" t="str">
        <f t="shared" si="68"/>
        <v/>
      </c>
      <c r="AJ49" s="7" t="str">
        <f t="shared" si="68"/>
        <v/>
      </c>
      <c r="AK49" s="7" t="str">
        <f t="shared" si="68"/>
        <v/>
      </c>
      <c r="AL49" s="7" t="str">
        <f t="shared" si="68"/>
        <v/>
      </c>
      <c r="AM49" s="97" t="str">
        <f t="shared" si="10"/>
        <v/>
      </c>
      <c r="AN49" s="37"/>
      <c r="AO49" s="37"/>
      <c r="AP49" s="8"/>
      <c r="AQ49" s="8"/>
      <c r="AR49" s="8"/>
      <c r="AS49" s="8"/>
      <c r="AT49" s="8"/>
      <c r="AU49" s="8"/>
      <c r="AV49" s="8"/>
      <c r="AW49" s="8"/>
      <c r="AX49" s="8"/>
    </row>
    <row r="50" ht="15.75" customHeight="1">
      <c r="A50" s="16"/>
      <c r="B50" s="98">
        <f>IF(B48="","",B48+7)</f>
        <v>46116</v>
      </c>
      <c r="C50" s="142" t="str">
        <f t="shared" si="14"/>
        <v>Weight</v>
      </c>
      <c r="D50" s="158"/>
      <c r="E50" s="159"/>
      <c r="F50" s="159"/>
      <c r="G50" s="159"/>
      <c r="H50" s="159"/>
      <c r="I50" s="159"/>
      <c r="J50" s="160"/>
      <c r="K50" s="100" t="str">
        <f t="shared" si="6"/>
        <v/>
      </c>
      <c r="L50" s="101" t="str">
        <f>IF(K50="","",AN50)</f>
        <v/>
      </c>
      <c r="M50" s="102" t="str">
        <f>IF(AM50="", "", MROUND(BB50, 10))</f>
        <v/>
      </c>
      <c r="N50" s="149"/>
      <c r="O50" s="121" t="str">
        <f>IF(T49="","","You have")</f>
        <v/>
      </c>
      <c r="P50" s="26"/>
      <c r="Q50" s="26"/>
      <c r="R50" s="26"/>
      <c r="S50" s="122" t="str">
        <f>IF(T49="","",IF(K50&gt;F39,K50-F39,F39-K50))</f>
        <v/>
      </c>
      <c r="T50" s="123" t="str">
        <f>IF(T49="","",IF(T49="No Weight Change","",IF(F36="Lb","Lb to go!",IF(F36="Kg","Kg to go!",""))))</f>
        <v/>
      </c>
      <c r="U50" s="26"/>
      <c r="V50" s="26"/>
      <c r="W50" s="26"/>
      <c r="X50" s="124"/>
      <c r="Y50" s="109"/>
      <c r="Z50" s="80"/>
      <c r="AA50" s="81">
        <f>AA48+1</f>
        <v>20</v>
      </c>
      <c r="AB50" s="8">
        <f t="shared" si="7"/>
        <v>0</v>
      </c>
      <c r="AC50" s="7">
        <f>IF(K50="",AC48,K50)</f>
        <v>76.95714286</v>
      </c>
      <c r="AD50" s="8">
        <f>AD49</f>
        <v>77</v>
      </c>
      <c r="AE50" s="64">
        <f>IF($F$6&gt;$F$7,IF(AE48&gt;AD50,AE48+$AE$9,AD50),IF($F$6&lt;$F$7,IF(AE48&lt;AD50,AE48+$AE$9,AD50),AD50))</f>
        <v>76.8</v>
      </c>
      <c r="AF50" s="7" t="str">
        <f t="shared" si="16"/>
        <v/>
      </c>
      <c r="AG50" s="7" t="str">
        <f t="shared" ref="AG50:AL50" si="69">IF(E50="",AF50,E50)</f>
        <v/>
      </c>
      <c r="AH50" s="7" t="str">
        <f t="shared" si="69"/>
        <v/>
      </c>
      <c r="AI50" s="7" t="str">
        <f t="shared" si="69"/>
        <v/>
      </c>
      <c r="AJ50" s="7" t="str">
        <f t="shared" si="69"/>
        <v/>
      </c>
      <c r="AK50" s="7" t="str">
        <f t="shared" si="69"/>
        <v/>
      </c>
      <c r="AL50" s="7" t="str">
        <f t="shared" si="69"/>
        <v/>
      </c>
      <c r="AM50" s="82" t="str">
        <f t="shared" si="10"/>
        <v/>
      </c>
      <c r="AN50" s="83" t="str">
        <f>IF(AM50="","",AM50-AM48)</f>
        <v/>
      </c>
      <c r="AO50" s="84" t="str">
        <f>IF(AP50="","",IF(AN50="","",MROUND(AP50,5)))</f>
        <v/>
      </c>
      <c r="AP50" s="85">
        <f>IF(AB51=0,$AP48,IF(AB50=0,$AP48,((K51+(((-L50)*$AQ$7)/AB51)))+M48+M46+M44+M42+M40)/6)</f>
        <v>3004.379929</v>
      </c>
      <c r="AQ50" s="8"/>
      <c r="AR50" s="8"/>
      <c r="AS50" s="8"/>
      <c r="AT50" s="8"/>
      <c r="AU50" s="8"/>
      <c r="AV50" s="8"/>
      <c r="AW50" s="8"/>
      <c r="AX50" s="8"/>
      <c r="BA50" s="88">
        <f>IF(AM50="", BA48, (AM50*0.3) + (BA48*0.7))</f>
        <v>78.72274376</v>
      </c>
      <c r="BB50" s="88">
        <f>IF(AP50="", BB48, (AP50*0.3) + (BB48*0.7))</f>
        <v>3002.46679</v>
      </c>
      <c r="BC50" s="88">
        <f>IF(BB50="","", BB50*0.8)</f>
        <v>2401.973432</v>
      </c>
    </row>
    <row r="51" ht="15.75" customHeight="1">
      <c r="A51" s="16"/>
      <c r="B51" s="150"/>
      <c r="C51" s="151" t="str">
        <f t="shared" si="14"/>
        <v>Cal.</v>
      </c>
      <c r="D51" s="162"/>
      <c r="E51" s="163"/>
      <c r="F51" s="163"/>
      <c r="G51" s="163"/>
      <c r="H51" s="163"/>
      <c r="I51" s="163"/>
      <c r="J51" s="164"/>
      <c r="K51" s="125" t="str">
        <f t="shared" si="6"/>
        <v/>
      </c>
      <c r="L51" s="126"/>
      <c r="M51" s="127"/>
      <c r="N51" s="149"/>
      <c r="O51" s="128"/>
      <c r="P51" s="129"/>
      <c r="Q51" s="129"/>
      <c r="R51" s="129"/>
      <c r="S51" s="126"/>
      <c r="T51" s="130"/>
      <c r="U51" s="129"/>
      <c r="V51" s="129"/>
      <c r="W51" s="129"/>
      <c r="X51" s="131"/>
      <c r="Y51" s="109"/>
      <c r="Z51" s="80"/>
      <c r="AA51" s="81">
        <f>AA50+0.5</f>
        <v>20.5</v>
      </c>
      <c r="AB51" s="8">
        <f t="shared" si="7"/>
        <v>0</v>
      </c>
      <c r="AC51" s="7">
        <f t="shared" ref="AC51:AD51" si="70">AC50</f>
        <v>76.95714286</v>
      </c>
      <c r="AD51" s="8">
        <f t="shared" si="70"/>
        <v>77</v>
      </c>
      <c r="AE51" s="8">
        <f>IF($AE$9=0,0,(AE50+AE52)/2)</f>
        <v>76.9</v>
      </c>
      <c r="AF51" s="7" t="str">
        <f t="shared" si="16"/>
        <v/>
      </c>
      <c r="AG51" s="7" t="str">
        <f t="shared" ref="AG51:AL51" si="71">IF(E51="",AF51,E51)</f>
        <v/>
      </c>
      <c r="AH51" s="7" t="str">
        <f t="shared" si="71"/>
        <v/>
      </c>
      <c r="AI51" s="7" t="str">
        <f t="shared" si="71"/>
        <v/>
      </c>
      <c r="AJ51" s="7" t="str">
        <f t="shared" si="71"/>
        <v/>
      </c>
      <c r="AK51" s="7" t="str">
        <f t="shared" si="71"/>
        <v/>
      </c>
      <c r="AL51" s="7" t="str">
        <f t="shared" si="71"/>
        <v/>
      </c>
      <c r="AM51" s="97" t="str">
        <f t="shared" si="10"/>
        <v/>
      </c>
      <c r="AN51" s="37"/>
      <c r="AO51" s="37"/>
      <c r="AP51" s="8"/>
      <c r="AQ51" s="8"/>
      <c r="AR51" s="8"/>
      <c r="AS51" s="8"/>
      <c r="AT51" s="8"/>
      <c r="AU51" s="8"/>
      <c r="AV51" s="8"/>
      <c r="AW51" s="8"/>
      <c r="AX51" s="8"/>
    </row>
    <row r="52" ht="15.75" customHeight="1">
      <c r="A52" s="16"/>
      <c r="B52" s="72">
        <f>IF(B50="","",B50+7)</f>
        <v>46123</v>
      </c>
      <c r="C52" s="70" t="str">
        <f t="shared" si="14"/>
        <v>Weight</v>
      </c>
      <c r="D52" s="155"/>
      <c r="E52" s="156"/>
      <c r="F52" s="156"/>
      <c r="G52" s="156"/>
      <c r="H52" s="156"/>
      <c r="I52" s="156"/>
      <c r="J52" s="157"/>
      <c r="K52" s="76" t="str">
        <f t="shared" si="6"/>
        <v/>
      </c>
      <c r="L52" s="77" t="str">
        <f>IF(K52="","",AN52)</f>
        <v/>
      </c>
      <c r="M52" s="78" t="str">
        <f>IF(AM52="", "", MROUND(BB52, 10))</f>
        <v/>
      </c>
      <c r="N52" s="149"/>
      <c r="O52" s="79"/>
      <c r="P52" s="79"/>
      <c r="Q52" s="79"/>
      <c r="R52" s="79"/>
      <c r="S52" s="50"/>
      <c r="T52" s="79"/>
      <c r="U52" s="50"/>
      <c r="V52" s="79"/>
      <c r="W52" s="79"/>
      <c r="X52" s="79"/>
      <c r="Y52" s="80"/>
      <c r="Z52" s="80"/>
      <c r="AA52" s="81">
        <f>AA50+1</f>
        <v>21</v>
      </c>
      <c r="AB52" s="8">
        <f t="shared" si="7"/>
        <v>0</v>
      </c>
      <c r="AC52" s="7">
        <f>IF(K52="",AC50,K52)</f>
        <v>76.95714286</v>
      </c>
      <c r="AD52" s="8">
        <f>AD51</f>
        <v>77</v>
      </c>
      <c r="AE52" s="8">
        <f>IF($F$6&gt;$F$7,IF(AE50&gt;AD52,AE50+$AE$9,AD52),IF($F$6&lt;$F$7,IF(AE50&lt;AD52,AE50+$AE$9,AD52),AD52))</f>
        <v>77</v>
      </c>
      <c r="AF52" s="7" t="str">
        <f t="shared" si="16"/>
        <v/>
      </c>
      <c r="AG52" s="7" t="str">
        <f t="shared" ref="AG52:AL52" si="72">IF(E52="",AF52,E52)</f>
        <v/>
      </c>
      <c r="AH52" s="7" t="str">
        <f t="shared" si="72"/>
        <v/>
      </c>
      <c r="AI52" s="7" t="str">
        <f t="shared" si="72"/>
        <v/>
      </c>
      <c r="AJ52" s="7" t="str">
        <f t="shared" si="72"/>
        <v/>
      </c>
      <c r="AK52" s="7" t="str">
        <f t="shared" si="72"/>
        <v/>
      </c>
      <c r="AL52" s="7" t="str">
        <f t="shared" si="72"/>
        <v/>
      </c>
      <c r="AM52" s="82" t="str">
        <f t="shared" si="10"/>
        <v/>
      </c>
      <c r="AN52" s="83" t="str">
        <f>IF(AM52="","",AM52-AM50)</f>
        <v/>
      </c>
      <c r="AO52" s="84" t="str">
        <f>IF(AP52="","",IF(AN52="","",MROUND(AP52,5)))</f>
        <v/>
      </c>
      <c r="AP52" s="85">
        <f>IF(AB53=0,$AP50,IF(AB52=0,$AP50,((K53+(((-L52)*$AQ$7)/AB53)))+M50+M48+M46+M44+M42)/6)</f>
        <v>3004.379929</v>
      </c>
      <c r="AQ52" s="8"/>
      <c r="AR52" s="8"/>
      <c r="AS52" s="8"/>
      <c r="AT52" s="8"/>
      <c r="AU52" s="8"/>
      <c r="AV52" s="8"/>
      <c r="AW52" s="8"/>
      <c r="AX52" s="8"/>
      <c r="BA52" s="88">
        <f>IF(AM52="", BA50, (AM52*0.3) + (BA50*0.7))</f>
        <v>78.72274376</v>
      </c>
      <c r="BB52" s="88">
        <f>IF(AP52="", BB50, (AP52*0.3) + (BB50*0.7))</f>
        <v>3003.040732</v>
      </c>
      <c r="BC52" s="88">
        <f>IF(BB52="","", BB52*0.8)</f>
        <v>2402.432585</v>
      </c>
    </row>
    <row r="53" ht="15.75" customHeight="1">
      <c r="A53" s="16"/>
      <c r="B53" s="110"/>
      <c r="C53" s="137" t="str">
        <f t="shared" si="14"/>
        <v>Cal.</v>
      </c>
      <c r="D53" s="158"/>
      <c r="E53" s="159"/>
      <c r="F53" s="159"/>
      <c r="G53" s="159"/>
      <c r="H53" s="159"/>
      <c r="I53" s="159"/>
      <c r="J53" s="160"/>
      <c r="K53" s="94" t="str">
        <f t="shared" si="6"/>
        <v/>
      </c>
      <c r="L53" s="95"/>
      <c r="M53" s="96"/>
      <c r="N53" s="149"/>
      <c r="O53" s="79"/>
      <c r="P53" s="79"/>
      <c r="Q53" s="79"/>
      <c r="R53" s="79"/>
      <c r="S53" s="50"/>
      <c r="T53" s="79"/>
      <c r="U53" s="50"/>
      <c r="V53" s="79"/>
      <c r="W53" s="79"/>
      <c r="X53" s="79"/>
      <c r="Y53" s="80"/>
      <c r="Z53" s="80"/>
      <c r="AA53" s="81">
        <f>AA52+0.5</f>
        <v>21.5</v>
      </c>
      <c r="AB53" s="8">
        <f t="shared" si="7"/>
        <v>0</v>
      </c>
      <c r="AC53" s="7">
        <f t="shared" ref="AC53:AD53" si="73">AC52</f>
        <v>76.95714286</v>
      </c>
      <c r="AD53" s="8">
        <f t="shared" si="73"/>
        <v>77</v>
      </c>
      <c r="AE53" s="8">
        <f>IF($AE$9=0,0,(AE52+AE54)/2)</f>
        <v>77</v>
      </c>
      <c r="AF53" s="7" t="str">
        <f t="shared" si="16"/>
        <v/>
      </c>
      <c r="AG53" s="7" t="str">
        <f t="shared" ref="AG53:AL53" si="74">IF(E53="",AF53,E53)</f>
        <v/>
      </c>
      <c r="AH53" s="7" t="str">
        <f t="shared" si="74"/>
        <v/>
      </c>
      <c r="AI53" s="7" t="str">
        <f t="shared" si="74"/>
        <v/>
      </c>
      <c r="AJ53" s="7" t="str">
        <f t="shared" si="74"/>
        <v/>
      </c>
      <c r="AK53" s="7" t="str">
        <f t="shared" si="74"/>
        <v/>
      </c>
      <c r="AL53" s="7" t="str">
        <f t="shared" si="74"/>
        <v/>
      </c>
      <c r="AM53" s="97" t="str">
        <f t="shared" si="10"/>
        <v/>
      </c>
      <c r="AN53" s="37"/>
      <c r="AO53" s="37"/>
      <c r="AP53" s="8"/>
      <c r="AQ53" s="8"/>
      <c r="AR53" s="8"/>
      <c r="AS53" s="8"/>
      <c r="AT53" s="8"/>
      <c r="AU53" s="8"/>
      <c r="AV53" s="8"/>
      <c r="AW53" s="8"/>
      <c r="AX53" s="8"/>
    </row>
    <row r="54" ht="15.75" customHeight="1">
      <c r="A54" s="16"/>
      <c r="B54" s="98">
        <f>IF(B52="","",B52+7)</f>
        <v>46130</v>
      </c>
      <c r="C54" s="142" t="str">
        <f t="shared" si="14"/>
        <v>Weight</v>
      </c>
      <c r="D54" s="158"/>
      <c r="E54" s="159"/>
      <c r="F54" s="159"/>
      <c r="G54" s="159"/>
      <c r="H54" s="159"/>
      <c r="I54" s="159"/>
      <c r="J54" s="160"/>
      <c r="K54" s="100" t="str">
        <f t="shared" si="6"/>
        <v/>
      </c>
      <c r="L54" s="101" t="str">
        <f>IF(K54="","",AN54)</f>
        <v/>
      </c>
      <c r="M54" s="102" t="str">
        <f>IF(AM54="", "", MROUND(BB54, 10))</f>
        <v/>
      </c>
      <c r="N54" s="149"/>
      <c r="O54" s="103" t="str">
        <f>IF(M58="","","From")</f>
        <v/>
      </c>
      <c r="P54" s="104"/>
      <c r="Q54" s="105" t="str">
        <f>IF(M58="","",B52)</f>
        <v/>
      </c>
      <c r="R54" s="104"/>
      <c r="S54" s="104"/>
      <c r="T54" s="106" t="str">
        <f>IF(M58="","","to")</f>
        <v/>
      </c>
      <c r="U54" s="107" t="str">
        <f>IF(M58="","",B58)</f>
        <v/>
      </c>
      <c r="V54" s="104"/>
      <c r="W54" s="104"/>
      <c r="X54" s="108"/>
      <c r="Y54" s="109"/>
      <c r="Z54" s="80"/>
      <c r="AA54" s="81">
        <f>AA52+1</f>
        <v>22</v>
      </c>
      <c r="AB54" s="8">
        <f t="shared" si="7"/>
        <v>0</v>
      </c>
      <c r="AC54" s="7">
        <f>IF(K54="",AC52,K54)</f>
        <v>76.95714286</v>
      </c>
      <c r="AD54" s="8">
        <f>AD53</f>
        <v>77</v>
      </c>
      <c r="AE54" s="8">
        <f>IF($F$6&gt;$F$7,IF(AE52&gt;AD54,AE52+$AE$9,AD54),IF($F$6&lt;$F$7,IF(AE52&lt;AD54,AE52+$AE$9,AD54),AD54))</f>
        <v>77</v>
      </c>
      <c r="AF54" s="7" t="str">
        <f t="shared" si="16"/>
        <v/>
      </c>
      <c r="AG54" s="7" t="str">
        <f t="shared" ref="AG54:AL54" si="75">IF(E54="",AF54,E54)</f>
        <v/>
      </c>
      <c r="AH54" s="7" t="str">
        <f t="shared" si="75"/>
        <v/>
      </c>
      <c r="AI54" s="7" t="str">
        <f t="shared" si="75"/>
        <v/>
      </c>
      <c r="AJ54" s="7" t="str">
        <f t="shared" si="75"/>
        <v/>
      </c>
      <c r="AK54" s="7" t="str">
        <f t="shared" si="75"/>
        <v/>
      </c>
      <c r="AL54" s="7" t="str">
        <f t="shared" si="75"/>
        <v/>
      </c>
      <c r="AM54" s="82" t="str">
        <f t="shared" si="10"/>
        <v/>
      </c>
      <c r="AN54" s="83" t="str">
        <f>IF(AM54="","",AM54-AM52)</f>
        <v/>
      </c>
      <c r="AO54" s="84" t="str">
        <f>IF(AP54="","",IF(AN54="","",MROUND(AP54,5)))</f>
        <v/>
      </c>
      <c r="AP54" s="85">
        <f>IF(AB55=0,$AP52,IF(AB54=0,$AP52,((K55+(((-L54)*$AQ$7)/AB55)))+M52+M50+M48+M46+M44)/6)</f>
        <v>3004.379929</v>
      </c>
      <c r="AQ54" s="8"/>
      <c r="AR54" s="8"/>
      <c r="AS54" s="8"/>
      <c r="AT54" s="8"/>
      <c r="AU54" s="8"/>
      <c r="AV54" s="8"/>
      <c r="AW54" s="8"/>
      <c r="AX54" s="8"/>
      <c r="BA54" s="88">
        <f>IF(AM54="", BA52, (AM54*0.3) + (BA52*0.7))</f>
        <v>78.72274376</v>
      </c>
      <c r="BB54" s="88">
        <f>IF(AP54="", BB52, (AP54*0.3) + (BB52*0.7))</f>
        <v>3003.442491</v>
      </c>
      <c r="BC54" s="88">
        <f>IF(BB54="","", BB54*0.8)</f>
        <v>2402.753993</v>
      </c>
    </row>
    <row r="55" ht="15.75" customHeight="1">
      <c r="A55" s="16"/>
      <c r="B55" s="110"/>
      <c r="C55" s="146" t="str">
        <f t="shared" si="14"/>
        <v>Cal.</v>
      </c>
      <c r="D55" s="158"/>
      <c r="E55" s="159"/>
      <c r="F55" s="159"/>
      <c r="G55" s="159"/>
      <c r="H55" s="159"/>
      <c r="I55" s="159"/>
      <c r="J55" s="160"/>
      <c r="K55" s="94" t="str">
        <f t="shared" si="6"/>
        <v/>
      </c>
      <c r="L55" s="95"/>
      <c r="M55" s="96"/>
      <c r="N55" s="149"/>
      <c r="O55" s="112"/>
      <c r="Q55" s="36"/>
      <c r="T55" s="37"/>
      <c r="U55" s="36"/>
      <c r="X55" s="113"/>
      <c r="Y55" s="109"/>
      <c r="Z55" s="80"/>
      <c r="AA55" s="81">
        <f>AA54+0.5</f>
        <v>22.5</v>
      </c>
      <c r="AB55" s="8">
        <f t="shared" si="7"/>
        <v>0</v>
      </c>
      <c r="AC55" s="7">
        <f t="shared" ref="AC55:AD55" si="76">AC54</f>
        <v>76.95714286</v>
      </c>
      <c r="AD55" s="8">
        <f t="shared" si="76"/>
        <v>77</v>
      </c>
      <c r="AE55" s="8">
        <f>IF($AE$9=0,0,(AE54+AE56)/2)</f>
        <v>77</v>
      </c>
      <c r="AF55" s="7" t="str">
        <f t="shared" si="16"/>
        <v/>
      </c>
      <c r="AG55" s="7" t="str">
        <f t="shared" ref="AG55:AL55" si="77">IF(E55="",AF55,E55)</f>
        <v/>
      </c>
      <c r="AH55" s="7" t="str">
        <f t="shared" si="77"/>
        <v/>
      </c>
      <c r="AI55" s="7" t="str">
        <f t="shared" si="77"/>
        <v/>
      </c>
      <c r="AJ55" s="7" t="str">
        <f t="shared" si="77"/>
        <v/>
      </c>
      <c r="AK55" s="7" t="str">
        <f t="shared" si="77"/>
        <v/>
      </c>
      <c r="AL55" s="7" t="str">
        <f t="shared" si="77"/>
        <v/>
      </c>
      <c r="AM55" s="97" t="str">
        <f t="shared" si="10"/>
        <v/>
      </c>
      <c r="AN55" s="37"/>
      <c r="AO55" s="37"/>
      <c r="AP55" s="8"/>
      <c r="AQ55" s="8"/>
      <c r="AR55" s="8"/>
      <c r="AS55" s="8"/>
      <c r="AT55" s="8"/>
      <c r="AU55" s="8"/>
      <c r="AV55" s="8"/>
      <c r="AW55" s="8"/>
      <c r="AX55" s="8"/>
    </row>
    <row r="56" ht="15.75" customHeight="1">
      <c r="A56" s="16"/>
      <c r="B56" s="98">
        <f>IF(B54="","",B54+7)</f>
        <v>46137</v>
      </c>
      <c r="C56" s="142" t="str">
        <f t="shared" si="14"/>
        <v>Weight</v>
      </c>
      <c r="D56" s="158"/>
      <c r="E56" s="159"/>
      <c r="F56" s="159"/>
      <c r="G56" s="159"/>
      <c r="H56" s="159"/>
      <c r="I56" s="159"/>
      <c r="J56" s="160"/>
      <c r="K56" s="100" t="str">
        <f t="shared" si="6"/>
        <v/>
      </c>
      <c r="L56" s="101" t="str">
        <f>IF(K56="","",AN56)</f>
        <v/>
      </c>
      <c r="M56" s="102" t="str">
        <f>IF(AM56="", "", MROUND(BB56, 10))</f>
        <v/>
      </c>
      <c r="N56" s="149"/>
      <c r="O56" s="114" t="str">
        <f>IF(M58="","",IF(K58=K50,"No Weight Change",IF(K58&gt;K50,"You Gained:","You Lost:")))</f>
        <v/>
      </c>
      <c r="P56" s="14"/>
      <c r="Q56" s="14"/>
      <c r="R56" s="14"/>
      <c r="S56" s="14"/>
      <c r="T56" s="14"/>
      <c r="U56" s="115" t="str">
        <f>IF(M58="","",IF(K58=K50,"",IF(K58&gt;K50,K58-K50,K50-K58)))</f>
        <v/>
      </c>
      <c r="V56" s="116" t="str">
        <f>IF(O56="","",IF(O56="No Weight Change","",IF($F$4="Lb","Lb",IF($F$4="Kg","Kg",""))))</f>
        <v/>
      </c>
      <c r="W56" s="14"/>
      <c r="X56" s="117"/>
      <c r="Y56" s="109"/>
      <c r="Z56" s="80"/>
      <c r="AA56" s="81">
        <f>AA54+1</f>
        <v>23</v>
      </c>
      <c r="AB56" s="8">
        <f t="shared" si="7"/>
        <v>0</v>
      </c>
      <c r="AC56" s="7">
        <f>IF(K56="",AC54,K56)</f>
        <v>76.95714286</v>
      </c>
      <c r="AD56" s="8">
        <f>AD55</f>
        <v>77</v>
      </c>
      <c r="AE56" s="8">
        <f>IF($F$6&gt;$F$7,IF(AE54&gt;AD56,AE54+$AE$9,AD56),IF($F$6&lt;$F$7,IF(AE54&lt;AD56,AE54+$AE$9,AD56),AD56))</f>
        <v>77</v>
      </c>
      <c r="AF56" s="7" t="str">
        <f t="shared" si="16"/>
        <v/>
      </c>
      <c r="AG56" s="7" t="str">
        <f t="shared" ref="AG56:AL56" si="78">IF(E56="",AF56,E56)</f>
        <v/>
      </c>
      <c r="AH56" s="7" t="str">
        <f t="shared" si="78"/>
        <v/>
      </c>
      <c r="AI56" s="7" t="str">
        <f t="shared" si="78"/>
        <v/>
      </c>
      <c r="AJ56" s="7" t="str">
        <f t="shared" si="78"/>
        <v/>
      </c>
      <c r="AK56" s="7" t="str">
        <f t="shared" si="78"/>
        <v/>
      </c>
      <c r="AL56" s="7" t="str">
        <f t="shared" si="78"/>
        <v/>
      </c>
      <c r="AM56" s="82" t="str">
        <f t="shared" si="10"/>
        <v/>
      </c>
      <c r="AN56" s="83" t="str">
        <f>IF(AM56="","",AM56-AM54)</f>
        <v/>
      </c>
      <c r="AO56" s="84" t="str">
        <f>IF(AP56="","",IF(AN56="","",MROUND(AP56,5)))</f>
        <v/>
      </c>
      <c r="AP56" s="85">
        <f>IF(AB57=0,$AP54,IF(AB56=0,$AP54,((K57+(((-L56)*$AQ$7)/AB57)))+M54+M52+M50+M48+M46)/6)</f>
        <v>3004.379929</v>
      </c>
      <c r="AQ56" s="8"/>
      <c r="AR56" s="8"/>
      <c r="AS56" s="8"/>
      <c r="AT56" s="8"/>
      <c r="AU56" s="8"/>
      <c r="AV56" s="8"/>
      <c r="AW56" s="8"/>
      <c r="AX56" s="8"/>
      <c r="BA56" s="88">
        <f>IF(AM56="", BA54, (AM56*0.3) + (BA54*0.7))</f>
        <v>78.72274376</v>
      </c>
      <c r="BB56" s="88">
        <f>IF(AP56="", BB54, (AP56*0.3) + (BB54*0.7))</f>
        <v>3003.723722</v>
      </c>
      <c r="BC56" s="88">
        <f>IF(BB56="","", BB56*0.8)</f>
        <v>2402.978978</v>
      </c>
    </row>
    <row r="57" ht="15.75" customHeight="1">
      <c r="A57" s="16"/>
      <c r="B57" s="110"/>
      <c r="C57" s="146" t="str">
        <f t="shared" si="14"/>
        <v>Cal.</v>
      </c>
      <c r="D57" s="158"/>
      <c r="E57" s="159"/>
      <c r="F57" s="159"/>
      <c r="G57" s="159"/>
      <c r="H57" s="159"/>
      <c r="I57" s="159"/>
      <c r="J57" s="160"/>
      <c r="K57" s="94" t="str">
        <f t="shared" si="6"/>
        <v/>
      </c>
      <c r="L57" s="95"/>
      <c r="M57" s="96"/>
      <c r="N57" s="149"/>
      <c r="O57" s="118" t="str">
        <f>IF(M58="","",IF(K58=K50,"","At a Rate Of"))</f>
        <v/>
      </c>
      <c r="P57" s="14"/>
      <c r="Q57" s="14"/>
      <c r="R57" s="14"/>
      <c r="S57" s="14"/>
      <c r="T57" s="119" t="str">
        <f>IF(O57="","",U56/4)</f>
        <v/>
      </c>
      <c r="U57" s="14"/>
      <c r="V57" s="120" t="str">
        <f>IF(O56="","",IF(O56="No Weight Change","",IF($F$4="Lb","Lb/Wk",IF($F$4="Kg","Kg/Wk",""))))</f>
        <v/>
      </c>
      <c r="W57" s="14"/>
      <c r="X57" s="117"/>
      <c r="Y57" s="109"/>
      <c r="Z57" s="80"/>
      <c r="AA57" s="81">
        <f>AA56+0.5</f>
        <v>23.5</v>
      </c>
      <c r="AB57" s="8">
        <f t="shared" si="7"/>
        <v>0</v>
      </c>
      <c r="AC57" s="7">
        <f t="shared" ref="AC57:AD57" si="79">AC56</f>
        <v>76.95714286</v>
      </c>
      <c r="AD57" s="8">
        <f t="shared" si="79"/>
        <v>77</v>
      </c>
      <c r="AE57" s="8">
        <f>IF($AE$9=0,0,(AE56+AE58)/2)</f>
        <v>77</v>
      </c>
      <c r="AF57" s="7" t="str">
        <f t="shared" si="16"/>
        <v/>
      </c>
      <c r="AG57" s="7" t="str">
        <f t="shared" ref="AG57:AL57" si="80">IF(E57="",AF57,E57)</f>
        <v/>
      </c>
      <c r="AH57" s="7" t="str">
        <f t="shared" si="80"/>
        <v/>
      </c>
      <c r="AI57" s="7" t="str">
        <f t="shared" si="80"/>
        <v/>
      </c>
      <c r="AJ57" s="7" t="str">
        <f t="shared" si="80"/>
        <v/>
      </c>
      <c r="AK57" s="7" t="str">
        <f t="shared" si="80"/>
        <v/>
      </c>
      <c r="AL57" s="7" t="str">
        <f t="shared" si="80"/>
        <v/>
      </c>
      <c r="AM57" s="97" t="str">
        <f t="shared" si="10"/>
        <v/>
      </c>
      <c r="AN57" s="37"/>
      <c r="AO57" s="37"/>
      <c r="AP57" s="8"/>
      <c r="AQ57" s="8"/>
      <c r="AR57" s="8"/>
      <c r="AS57" s="8"/>
      <c r="AT57" s="8"/>
      <c r="AU57" s="8"/>
      <c r="AV57" s="8"/>
      <c r="AW57" s="8"/>
      <c r="AX57" s="8"/>
    </row>
    <row r="58" ht="15.75" customHeight="1">
      <c r="A58" s="16"/>
      <c r="B58" s="98">
        <f>IF(B56="","",B56+7)</f>
        <v>46144</v>
      </c>
      <c r="C58" s="142" t="str">
        <f t="shared" si="14"/>
        <v>Weight</v>
      </c>
      <c r="D58" s="158"/>
      <c r="E58" s="159"/>
      <c r="F58" s="159"/>
      <c r="G58" s="159"/>
      <c r="H58" s="159"/>
      <c r="I58" s="159"/>
      <c r="J58" s="160"/>
      <c r="K58" s="100" t="str">
        <f t="shared" si="6"/>
        <v/>
      </c>
      <c r="L58" s="101" t="str">
        <f>IF(K58="","",AN58)</f>
        <v/>
      </c>
      <c r="M58" s="102" t="str">
        <f>IF(AM58="", "", MROUND(BB58, 10))</f>
        <v/>
      </c>
      <c r="N58" s="149"/>
      <c r="O58" s="121" t="str">
        <f>IF(T57="","","You have")</f>
        <v/>
      </c>
      <c r="P58" s="26"/>
      <c r="Q58" s="26"/>
      <c r="R58" s="26"/>
      <c r="S58" s="122" t="str">
        <f>IF(T57="","",IF(K58&gt;F47,K58-F47,F47-K58))</f>
        <v/>
      </c>
      <c r="T58" s="123" t="str">
        <f>IF(T57="","",IF(T57="No Weight Change","",IF(F44="Lb","Lb to go!",IF(F44="Kg","Kg to go!",""))))</f>
        <v/>
      </c>
      <c r="U58" s="26"/>
      <c r="V58" s="26"/>
      <c r="W58" s="26"/>
      <c r="X58" s="124"/>
      <c r="Y58" s="109"/>
      <c r="Z58" s="80"/>
      <c r="AA58" s="81">
        <f>AA56+1</f>
        <v>24</v>
      </c>
      <c r="AB58" s="8">
        <f t="shared" si="7"/>
        <v>0</v>
      </c>
      <c r="AC58" s="7">
        <f>IF(K58="",AC56,K58)</f>
        <v>76.95714286</v>
      </c>
      <c r="AD58" s="8">
        <f>AD57</f>
        <v>77</v>
      </c>
      <c r="AE58" s="8">
        <f>IF($F$6&gt;$F$7,IF(AE56&gt;AD58,AE56+$AE$9,AD58),IF($F$6&lt;$F$7,IF(AE56&lt;AD58,AE56+$AE$9,AD58),AD58))</f>
        <v>77</v>
      </c>
      <c r="AF58" s="7" t="str">
        <f t="shared" si="16"/>
        <v/>
      </c>
      <c r="AG58" s="7" t="str">
        <f t="shared" ref="AG58:AL58" si="81">IF(E58="",AF58,E58)</f>
        <v/>
      </c>
      <c r="AH58" s="7" t="str">
        <f t="shared" si="81"/>
        <v/>
      </c>
      <c r="AI58" s="7" t="str">
        <f t="shared" si="81"/>
        <v/>
      </c>
      <c r="AJ58" s="7" t="str">
        <f t="shared" si="81"/>
        <v/>
      </c>
      <c r="AK58" s="7" t="str">
        <f t="shared" si="81"/>
        <v/>
      </c>
      <c r="AL58" s="7" t="str">
        <f t="shared" si="81"/>
        <v/>
      </c>
      <c r="AM58" s="82" t="str">
        <f t="shared" si="10"/>
        <v/>
      </c>
      <c r="AN58" s="83" t="str">
        <f>IF(AM58="","",AM58-AM56)</f>
        <v/>
      </c>
      <c r="AO58" s="84" t="str">
        <f>IF(AP58="","",IF(AN58="","",MROUND(AP58,5)))</f>
        <v/>
      </c>
      <c r="AP58" s="85">
        <f>IF(AB59=0,$AP56,IF(AB58=0,$AP56,((K59+(((-L58)*$AQ$7)/AB59)))+M56+M54+M52+M50+M48)/6)</f>
        <v>3004.379929</v>
      </c>
      <c r="AQ58" s="8"/>
      <c r="AR58" s="8"/>
      <c r="AS58" s="8"/>
      <c r="AT58" s="8"/>
      <c r="AU58" s="8"/>
      <c r="AV58" s="8"/>
      <c r="AW58" s="8"/>
      <c r="AX58" s="8"/>
      <c r="BA58" s="88">
        <f>IF(AM58="", BA56, (AM58*0.3) + (BA56*0.7))</f>
        <v>78.72274376</v>
      </c>
      <c r="BB58" s="88">
        <f>IF(AP58="", BB56, (AP58*0.3) + (BB56*0.7))</f>
        <v>3003.920584</v>
      </c>
      <c r="BC58" s="88">
        <f>IF(BB58="","", BB58*0.8)</f>
        <v>2403.136467</v>
      </c>
    </row>
    <row r="59" ht="15.75" customHeight="1">
      <c r="A59" s="16"/>
      <c r="B59" s="150"/>
      <c r="C59" s="151" t="str">
        <f t="shared" si="14"/>
        <v>Cal.</v>
      </c>
      <c r="D59" s="162"/>
      <c r="E59" s="163"/>
      <c r="F59" s="163"/>
      <c r="G59" s="163"/>
      <c r="H59" s="163"/>
      <c r="I59" s="163"/>
      <c r="J59" s="164"/>
      <c r="K59" s="125" t="str">
        <f t="shared" si="6"/>
        <v/>
      </c>
      <c r="L59" s="126"/>
      <c r="M59" s="127"/>
      <c r="N59" s="149"/>
      <c r="O59" s="128"/>
      <c r="P59" s="129"/>
      <c r="Q59" s="129"/>
      <c r="R59" s="129"/>
      <c r="S59" s="126"/>
      <c r="T59" s="130"/>
      <c r="U59" s="129"/>
      <c r="V59" s="129"/>
      <c r="W59" s="129"/>
      <c r="X59" s="131"/>
      <c r="Y59" s="109"/>
      <c r="Z59" s="80"/>
      <c r="AA59" s="81">
        <f>AA58+0.5</f>
        <v>24.5</v>
      </c>
      <c r="AB59" s="8">
        <f t="shared" si="7"/>
        <v>0</v>
      </c>
      <c r="AC59" s="7">
        <f t="shared" ref="AC59:AD59" si="82">AC58</f>
        <v>76.95714286</v>
      </c>
      <c r="AD59" s="8">
        <f t="shared" si="82"/>
        <v>77</v>
      </c>
      <c r="AE59" s="8">
        <f>IF($AE$9=0,0,(AE58+AE60)/2)</f>
        <v>77</v>
      </c>
      <c r="AF59" s="7" t="str">
        <f t="shared" si="16"/>
        <v/>
      </c>
      <c r="AG59" s="7" t="str">
        <f t="shared" ref="AG59:AL59" si="83">IF(E59="",AF59,E59)</f>
        <v/>
      </c>
      <c r="AH59" s="7" t="str">
        <f t="shared" si="83"/>
        <v/>
      </c>
      <c r="AI59" s="7" t="str">
        <f t="shared" si="83"/>
        <v/>
      </c>
      <c r="AJ59" s="7" t="str">
        <f t="shared" si="83"/>
        <v/>
      </c>
      <c r="AK59" s="7" t="str">
        <f t="shared" si="83"/>
        <v/>
      </c>
      <c r="AL59" s="7" t="str">
        <f t="shared" si="83"/>
        <v/>
      </c>
      <c r="AM59" s="97" t="str">
        <f t="shared" si="10"/>
        <v/>
      </c>
      <c r="AN59" s="37"/>
      <c r="AO59" s="37"/>
      <c r="AP59" s="8"/>
      <c r="AQ59" s="8"/>
      <c r="AR59" s="8"/>
      <c r="AS59" s="8"/>
      <c r="AT59" s="8"/>
      <c r="AU59" s="8"/>
      <c r="AV59" s="8"/>
      <c r="AW59" s="8"/>
      <c r="AX59" s="8"/>
    </row>
    <row r="60" ht="15.75" customHeight="1">
      <c r="A60" s="16"/>
      <c r="B60" s="72">
        <f>IF(B58="","",B58+7)</f>
        <v>46151</v>
      </c>
      <c r="C60" s="70" t="str">
        <f t="shared" si="14"/>
        <v>Weight</v>
      </c>
      <c r="D60" s="155"/>
      <c r="E60" s="156"/>
      <c r="F60" s="156"/>
      <c r="G60" s="156"/>
      <c r="H60" s="156"/>
      <c r="I60" s="156"/>
      <c r="J60" s="157"/>
      <c r="K60" s="76" t="str">
        <f t="shared" si="6"/>
        <v/>
      </c>
      <c r="L60" s="77" t="str">
        <f>IF(K60="","",AN60)</f>
        <v/>
      </c>
      <c r="M60" s="78" t="str">
        <f>IF(AM60="", "", MROUND(BB60, 10))</f>
        <v/>
      </c>
      <c r="N60" s="149"/>
      <c r="O60" s="79"/>
      <c r="P60" s="79"/>
      <c r="Q60" s="79"/>
      <c r="R60" s="79"/>
      <c r="S60" s="50"/>
      <c r="T60" s="79"/>
      <c r="U60" s="50"/>
      <c r="V60" s="79"/>
      <c r="W60" s="79"/>
      <c r="X60" s="79"/>
      <c r="Y60" s="80"/>
      <c r="Z60" s="80"/>
      <c r="AA60" s="81">
        <f>AA58+1</f>
        <v>25</v>
      </c>
      <c r="AB60" s="8">
        <f t="shared" si="7"/>
        <v>0</v>
      </c>
      <c r="AC60" s="7">
        <f>IF(K60="",AC58,K60)</f>
        <v>76.95714286</v>
      </c>
      <c r="AD60" s="8">
        <f>AD59</f>
        <v>77</v>
      </c>
      <c r="AE60" s="8">
        <f>IF($F$6&gt;$F$7,IF(AE58&gt;AD60,AE58+$AE$9,AD60),IF($F$6&lt;$F$7,IF(AE58&lt;AD60,AE58+$AE$9,AD60),AD60))</f>
        <v>77</v>
      </c>
      <c r="AF60" s="7" t="str">
        <f t="shared" si="16"/>
        <v/>
      </c>
      <c r="AG60" s="7" t="str">
        <f t="shared" ref="AG60:AL60" si="84">IF(E60="",AF60,E60)</f>
        <v/>
      </c>
      <c r="AH60" s="7" t="str">
        <f t="shared" si="84"/>
        <v/>
      </c>
      <c r="AI60" s="7" t="str">
        <f t="shared" si="84"/>
        <v/>
      </c>
      <c r="AJ60" s="7" t="str">
        <f t="shared" si="84"/>
        <v/>
      </c>
      <c r="AK60" s="7" t="str">
        <f t="shared" si="84"/>
        <v/>
      </c>
      <c r="AL60" s="7" t="str">
        <f t="shared" si="84"/>
        <v/>
      </c>
      <c r="AM60" s="82" t="str">
        <f t="shared" si="10"/>
        <v/>
      </c>
      <c r="AN60" s="83" t="str">
        <f>IF(AM60="","",AM60-AM58)</f>
        <v/>
      </c>
      <c r="AO60" s="84" t="str">
        <f>IF(AP60="","",IF(AN60="","",MROUND(AP60,5)))</f>
        <v/>
      </c>
      <c r="AP60" s="85">
        <f>IF(AB61=0,$AP58,IF(AB60=0,$AP58,((K61+(((-L60)*$AQ$7)/AB61)))+M58+M56+M54+M52+M50)/6)</f>
        <v>3004.379929</v>
      </c>
      <c r="AQ60" s="8"/>
      <c r="AR60" s="8"/>
      <c r="AS60" s="8"/>
      <c r="AT60" s="8"/>
      <c r="AU60" s="8"/>
      <c r="AV60" s="8"/>
      <c r="AW60" s="8"/>
      <c r="AX60" s="8"/>
      <c r="BA60" s="88">
        <f>IF(AM60="", BA58, (AM60*0.3) + (BA58*0.7))</f>
        <v>78.72274376</v>
      </c>
      <c r="BB60" s="88">
        <f>IF(AP60="", BB58, (AP60*0.3) + (BB58*0.7))</f>
        <v>3004.058387</v>
      </c>
      <c r="BC60" s="88">
        <f>IF(BB60="","", BB60*0.8)</f>
        <v>2403.24671</v>
      </c>
    </row>
    <row r="61" ht="15.75" customHeight="1">
      <c r="A61" s="16"/>
      <c r="B61" s="110"/>
      <c r="C61" s="137" t="str">
        <f t="shared" si="14"/>
        <v>Cal.</v>
      </c>
      <c r="D61" s="158"/>
      <c r="E61" s="159"/>
      <c r="F61" s="159"/>
      <c r="G61" s="159"/>
      <c r="H61" s="159"/>
      <c r="I61" s="159"/>
      <c r="J61" s="160"/>
      <c r="K61" s="94" t="str">
        <f t="shared" si="6"/>
        <v/>
      </c>
      <c r="L61" s="95"/>
      <c r="M61" s="96"/>
      <c r="N61" s="149"/>
      <c r="O61" s="79"/>
      <c r="P61" s="79"/>
      <c r="Q61" s="79"/>
      <c r="R61" s="79"/>
      <c r="S61" s="50"/>
      <c r="T61" s="79"/>
      <c r="U61" s="50"/>
      <c r="V61" s="79"/>
      <c r="W61" s="79"/>
      <c r="X61" s="79"/>
      <c r="Y61" s="80"/>
      <c r="Z61" s="80"/>
      <c r="AA61" s="81">
        <f>AA60+0.5</f>
        <v>25.5</v>
      </c>
      <c r="AB61" s="8">
        <f t="shared" si="7"/>
        <v>0</v>
      </c>
      <c r="AC61" s="7">
        <f t="shared" ref="AC61:AD61" si="85">AC60</f>
        <v>76.95714286</v>
      </c>
      <c r="AD61" s="8">
        <f t="shared" si="85"/>
        <v>77</v>
      </c>
      <c r="AE61" s="8">
        <f>IF($AE$9=0,0,(AE60+AE62)/2)</f>
        <v>77</v>
      </c>
      <c r="AF61" s="7" t="str">
        <f t="shared" si="16"/>
        <v/>
      </c>
      <c r="AG61" s="7" t="str">
        <f t="shared" ref="AG61:AL61" si="86">IF(E61="",AF61,E61)</f>
        <v/>
      </c>
      <c r="AH61" s="7" t="str">
        <f t="shared" si="86"/>
        <v/>
      </c>
      <c r="AI61" s="7" t="str">
        <f t="shared" si="86"/>
        <v/>
      </c>
      <c r="AJ61" s="7" t="str">
        <f t="shared" si="86"/>
        <v/>
      </c>
      <c r="AK61" s="7" t="str">
        <f t="shared" si="86"/>
        <v/>
      </c>
      <c r="AL61" s="7" t="str">
        <f t="shared" si="86"/>
        <v/>
      </c>
      <c r="AM61" s="97" t="str">
        <f t="shared" si="10"/>
        <v/>
      </c>
      <c r="AN61" s="37"/>
      <c r="AO61" s="37"/>
      <c r="AP61" s="8"/>
      <c r="AQ61" s="8"/>
      <c r="AR61" s="8"/>
      <c r="AS61" s="8"/>
      <c r="AT61" s="8"/>
      <c r="AU61" s="8"/>
      <c r="AV61" s="8"/>
      <c r="AW61" s="8"/>
      <c r="AX61" s="8"/>
    </row>
    <row r="62" ht="15.75" customHeight="1">
      <c r="A62" s="16"/>
      <c r="B62" s="98">
        <f>IF(B60="","",B60+7)</f>
        <v>46158</v>
      </c>
      <c r="C62" s="142" t="str">
        <f t="shared" si="14"/>
        <v>Weight</v>
      </c>
      <c r="D62" s="158"/>
      <c r="E62" s="159"/>
      <c r="F62" s="159"/>
      <c r="G62" s="159"/>
      <c r="H62" s="159"/>
      <c r="I62" s="159"/>
      <c r="J62" s="160"/>
      <c r="K62" s="100" t="str">
        <f t="shared" si="6"/>
        <v/>
      </c>
      <c r="L62" s="101" t="str">
        <f>IF(K62="","",AN62)</f>
        <v/>
      </c>
      <c r="M62" s="102" t="str">
        <f>IF(AM62="", "", MROUND(BB62, 10))</f>
        <v/>
      </c>
      <c r="N62" s="149"/>
      <c r="O62" s="103" t="str">
        <f>IF(M66="","","From")</f>
        <v/>
      </c>
      <c r="P62" s="104"/>
      <c r="Q62" s="105" t="str">
        <f>IF(M66="","",B60)</f>
        <v/>
      </c>
      <c r="R62" s="104"/>
      <c r="S62" s="104"/>
      <c r="T62" s="106" t="str">
        <f>IF(M66="","","to")</f>
        <v/>
      </c>
      <c r="U62" s="107" t="str">
        <f>IF(M66="","",B66)</f>
        <v/>
      </c>
      <c r="V62" s="104"/>
      <c r="W62" s="104"/>
      <c r="X62" s="108"/>
      <c r="Y62" s="109"/>
      <c r="Z62" s="80"/>
      <c r="AA62" s="81">
        <f>AA60+1</f>
        <v>26</v>
      </c>
      <c r="AB62" s="8">
        <f t="shared" si="7"/>
        <v>0</v>
      </c>
      <c r="AC62" s="7">
        <f>IF(K62="",AC60,K62)</f>
        <v>76.95714286</v>
      </c>
      <c r="AD62" s="8">
        <f>AD61</f>
        <v>77</v>
      </c>
      <c r="AE62" s="8">
        <f>IF($F$6&gt;$F$7,IF(AE60&gt;AD62,AE60+$AE$9,AD62),IF($F$6&lt;$F$7,IF(AE60&lt;AD62,AE60+$AE$9,AD62),AD62))</f>
        <v>77</v>
      </c>
      <c r="AF62" s="7" t="str">
        <f t="shared" si="16"/>
        <v/>
      </c>
      <c r="AG62" s="7" t="str">
        <f t="shared" ref="AG62:AL62" si="87">IF(E62="",AF62,E62)</f>
        <v/>
      </c>
      <c r="AH62" s="7" t="str">
        <f t="shared" si="87"/>
        <v/>
      </c>
      <c r="AI62" s="7" t="str">
        <f t="shared" si="87"/>
        <v/>
      </c>
      <c r="AJ62" s="7" t="str">
        <f t="shared" si="87"/>
        <v/>
      </c>
      <c r="AK62" s="7" t="str">
        <f t="shared" si="87"/>
        <v/>
      </c>
      <c r="AL62" s="7" t="str">
        <f t="shared" si="87"/>
        <v/>
      </c>
      <c r="AM62" s="82" t="str">
        <f t="shared" si="10"/>
        <v/>
      </c>
      <c r="AN62" s="83" t="str">
        <f>IF(AM62="","",AM62-AM60)</f>
        <v/>
      </c>
      <c r="AO62" s="84" t="str">
        <f>IF(AP62="","",IF(AN62="","",MROUND(AP62,5)))</f>
        <v/>
      </c>
      <c r="AP62" s="85">
        <f>IF(AB63=0,$AP60,IF(AB62=0,$AP60,((K63+(((-L62)*$AQ$7)/AB63)))+M60+M58+M56+M54+M52)/6)</f>
        <v>3004.379929</v>
      </c>
      <c r="AQ62" s="8"/>
      <c r="AR62" s="8"/>
      <c r="AS62" s="8"/>
      <c r="AT62" s="8"/>
      <c r="AU62" s="8"/>
      <c r="AV62" s="8"/>
      <c r="AW62" s="8"/>
      <c r="AX62" s="8"/>
      <c r="BA62" s="88">
        <f>IF(AM62="", BA60, (AM62*0.3) + (BA60*0.7))</f>
        <v>78.72274376</v>
      </c>
      <c r="BB62" s="88">
        <f>IF(AP62="", BB60, (AP62*0.3) + (BB60*0.7))</f>
        <v>3004.15485</v>
      </c>
      <c r="BC62" s="88">
        <f>IF(BB62="","", BB62*0.8)</f>
        <v>2403.32388</v>
      </c>
    </row>
    <row r="63" ht="15.75" customHeight="1">
      <c r="A63" s="16"/>
      <c r="B63" s="110"/>
      <c r="C63" s="146" t="str">
        <f t="shared" si="14"/>
        <v>Cal.</v>
      </c>
      <c r="D63" s="158"/>
      <c r="E63" s="159"/>
      <c r="F63" s="159"/>
      <c r="G63" s="159"/>
      <c r="H63" s="159"/>
      <c r="I63" s="159"/>
      <c r="J63" s="160"/>
      <c r="K63" s="94" t="str">
        <f t="shared" si="6"/>
        <v/>
      </c>
      <c r="L63" s="95"/>
      <c r="M63" s="96"/>
      <c r="N63" s="149"/>
      <c r="O63" s="112"/>
      <c r="Q63" s="36"/>
      <c r="T63" s="37"/>
      <c r="U63" s="36"/>
      <c r="X63" s="113"/>
      <c r="Y63" s="109"/>
      <c r="Z63" s="80"/>
      <c r="AA63" s="81">
        <f>AA62+0.5</f>
        <v>26.5</v>
      </c>
      <c r="AB63" s="8">
        <f t="shared" si="7"/>
        <v>0</v>
      </c>
      <c r="AC63" s="7">
        <f t="shared" ref="AC63:AD63" si="88">AC62</f>
        <v>76.95714286</v>
      </c>
      <c r="AD63" s="8">
        <f t="shared" si="88"/>
        <v>77</v>
      </c>
      <c r="AE63" s="8">
        <f>IF($AE$9=0,0,(AE62+AE64)/2)</f>
        <v>77</v>
      </c>
      <c r="AF63" s="7" t="str">
        <f t="shared" si="16"/>
        <v/>
      </c>
      <c r="AG63" s="7" t="str">
        <f t="shared" ref="AG63:AL63" si="89">IF(E63="",AF63,E63)</f>
        <v/>
      </c>
      <c r="AH63" s="7" t="str">
        <f t="shared" si="89"/>
        <v/>
      </c>
      <c r="AI63" s="7" t="str">
        <f t="shared" si="89"/>
        <v/>
      </c>
      <c r="AJ63" s="7" t="str">
        <f t="shared" si="89"/>
        <v/>
      </c>
      <c r="AK63" s="7" t="str">
        <f t="shared" si="89"/>
        <v/>
      </c>
      <c r="AL63" s="7" t="str">
        <f t="shared" si="89"/>
        <v/>
      </c>
      <c r="AM63" s="97" t="str">
        <f t="shared" si="10"/>
        <v/>
      </c>
      <c r="AN63" s="37"/>
      <c r="AO63" s="37"/>
      <c r="AP63" s="8"/>
      <c r="AQ63" s="8"/>
      <c r="AR63" s="8"/>
      <c r="AS63" s="8"/>
      <c r="AT63" s="8"/>
      <c r="AU63" s="8"/>
      <c r="AV63" s="8"/>
      <c r="AW63" s="8"/>
      <c r="AX63" s="8"/>
    </row>
    <row r="64" ht="15.75" customHeight="1">
      <c r="A64" s="16"/>
      <c r="B64" s="98">
        <f>IF(B62="","",B62+7)</f>
        <v>46165</v>
      </c>
      <c r="C64" s="142" t="str">
        <f t="shared" si="14"/>
        <v>Weight</v>
      </c>
      <c r="D64" s="158"/>
      <c r="E64" s="159"/>
      <c r="F64" s="159"/>
      <c r="G64" s="159"/>
      <c r="H64" s="159"/>
      <c r="I64" s="159"/>
      <c r="J64" s="160"/>
      <c r="K64" s="100" t="str">
        <f t="shared" si="6"/>
        <v/>
      </c>
      <c r="L64" s="101" t="str">
        <f>IF(K64="","",AN64)</f>
        <v/>
      </c>
      <c r="M64" s="102" t="str">
        <f>IF(AM64="", "", MROUND(BB64, 10))</f>
        <v/>
      </c>
      <c r="N64" s="149"/>
      <c r="O64" s="114" t="str">
        <f>IF(M66="","",IF(K66=K58,"No Weight Change",IF(K66&gt;K58,"You Gained:","You Lost:")))</f>
        <v/>
      </c>
      <c r="P64" s="14"/>
      <c r="Q64" s="14"/>
      <c r="R64" s="14"/>
      <c r="S64" s="14"/>
      <c r="T64" s="14"/>
      <c r="U64" s="115" t="str">
        <f>IF(M66="","",IF(K66=K58,"",IF(K66&gt;K58,K66-K58,K58-K66)))</f>
        <v/>
      </c>
      <c r="V64" s="116" t="str">
        <f>IF(O64="","",IF(O64="No Weight Change","",IF($F$4="Lb","Lb",IF($F$4="Kg","Kg",""))))</f>
        <v/>
      </c>
      <c r="W64" s="14"/>
      <c r="X64" s="117"/>
      <c r="Y64" s="109"/>
      <c r="Z64" s="80"/>
      <c r="AA64" s="81">
        <f>AA62+1</f>
        <v>27</v>
      </c>
      <c r="AB64" s="8">
        <f t="shared" si="7"/>
        <v>0</v>
      </c>
      <c r="AC64" s="7">
        <f>IF(K64="",AC62,K64)</f>
        <v>76.95714286</v>
      </c>
      <c r="AD64" s="8">
        <f>AD63</f>
        <v>77</v>
      </c>
      <c r="AE64" s="8">
        <f>IF($F$6&gt;$F$7,IF(AE62&gt;AD64,AE62+$AE$9,AD64),IF($F$6&lt;$F$7,IF(AE62&lt;AD64,AE62+$AE$9,AD64),AD64))</f>
        <v>77</v>
      </c>
      <c r="AF64" s="7" t="str">
        <f t="shared" si="16"/>
        <v/>
      </c>
      <c r="AG64" s="7" t="str">
        <f t="shared" ref="AG64:AL64" si="90">IF(E64="",AF64,E64)</f>
        <v/>
      </c>
      <c r="AH64" s="7" t="str">
        <f t="shared" si="90"/>
        <v/>
      </c>
      <c r="AI64" s="7" t="str">
        <f t="shared" si="90"/>
        <v/>
      </c>
      <c r="AJ64" s="7" t="str">
        <f t="shared" si="90"/>
        <v/>
      </c>
      <c r="AK64" s="7" t="str">
        <f t="shared" si="90"/>
        <v/>
      </c>
      <c r="AL64" s="7" t="str">
        <f t="shared" si="90"/>
        <v/>
      </c>
      <c r="AM64" s="82" t="str">
        <f t="shared" si="10"/>
        <v/>
      </c>
      <c r="AN64" s="83" t="str">
        <f>IF(AM64="","",AM64-AM62)</f>
        <v/>
      </c>
      <c r="AO64" s="84" t="str">
        <f>IF(AP64="","",IF(AN64="","",MROUND(AP64,5)))</f>
        <v/>
      </c>
      <c r="AP64" s="85">
        <f>IF(AB65=0,$AP62,IF(AB64=0,$AP62,((K65+(((-L64)*$AQ$7)/AB65)))+M62+M60+M58+M56+M54)/6)</f>
        <v>3004.379929</v>
      </c>
      <c r="AQ64" s="8"/>
      <c r="AR64" s="8"/>
      <c r="AS64" s="8"/>
      <c r="AT64" s="8"/>
      <c r="AU64" s="8"/>
      <c r="AV64" s="8"/>
      <c r="AW64" s="8"/>
      <c r="AX64" s="8"/>
      <c r="BA64" s="88">
        <f>IF(AM64="", BA62, (AM64*0.3) + (BA62*0.7))</f>
        <v>78.72274376</v>
      </c>
      <c r="BB64" s="88">
        <f>IF(AP64="", BB62, (AP64*0.3) + (BB62*0.7))</f>
        <v>3004.222373</v>
      </c>
      <c r="BC64" s="88">
        <f>IF(BB64="","", BB64*0.8)</f>
        <v>2403.377899</v>
      </c>
    </row>
    <row r="65" ht="15.75" customHeight="1">
      <c r="A65" s="16"/>
      <c r="B65" s="110"/>
      <c r="C65" s="146" t="str">
        <f t="shared" si="14"/>
        <v>Cal.</v>
      </c>
      <c r="D65" s="158"/>
      <c r="E65" s="159"/>
      <c r="F65" s="159"/>
      <c r="G65" s="159"/>
      <c r="H65" s="159"/>
      <c r="I65" s="159"/>
      <c r="J65" s="160"/>
      <c r="K65" s="94" t="str">
        <f t="shared" si="6"/>
        <v/>
      </c>
      <c r="L65" s="95"/>
      <c r="M65" s="96"/>
      <c r="N65" s="149"/>
      <c r="O65" s="118" t="str">
        <f>IF(M66="","",IF(K66=K58,"","At a Rate Of"))</f>
        <v/>
      </c>
      <c r="P65" s="14"/>
      <c r="Q65" s="14"/>
      <c r="R65" s="14"/>
      <c r="S65" s="14"/>
      <c r="T65" s="119" t="str">
        <f>IF(O65="","",U64/4)</f>
        <v/>
      </c>
      <c r="U65" s="14"/>
      <c r="V65" s="120" t="str">
        <f>IF(O64="","",IF(O64="No Weight Change","",IF($F$4="Lb","Lb/Wk",IF($F$4="Kg","Kg/Wk",""))))</f>
        <v/>
      </c>
      <c r="W65" s="14"/>
      <c r="X65" s="117"/>
      <c r="Y65" s="109"/>
      <c r="Z65" s="80"/>
      <c r="AA65" s="81">
        <f>AA64+0.5</f>
        <v>27.5</v>
      </c>
      <c r="AB65" s="8">
        <f t="shared" si="7"/>
        <v>0</v>
      </c>
      <c r="AC65" s="7">
        <f t="shared" ref="AC65:AD65" si="91">AC64</f>
        <v>76.95714286</v>
      </c>
      <c r="AD65" s="8">
        <f t="shared" si="91"/>
        <v>77</v>
      </c>
      <c r="AE65" s="8">
        <f>IF($AE$9=0,0,(AE64+AE66)/2)</f>
        <v>77</v>
      </c>
      <c r="AF65" s="7" t="str">
        <f t="shared" si="16"/>
        <v/>
      </c>
      <c r="AG65" s="7" t="str">
        <f t="shared" ref="AG65:AL65" si="92">IF(E65="",AF65,E65)</f>
        <v/>
      </c>
      <c r="AH65" s="7" t="str">
        <f t="shared" si="92"/>
        <v/>
      </c>
      <c r="AI65" s="7" t="str">
        <f t="shared" si="92"/>
        <v/>
      </c>
      <c r="AJ65" s="7" t="str">
        <f t="shared" si="92"/>
        <v/>
      </c>
      <c r="AK65" s="7" t="str">
        <f t="shared" si="92"/>
        <v/>
      </c>
      <c r="AL65" s="7" t="str">
        <f t="shared" si="92"/>
        <v/>
      </c>
      <c r="AM65" s="97" t="str">
        <f t="shared" si="10"/>
        <v/>
      </c>
      <c r="AN65" s="37"/>
      <c r="AO65" s="37"/>
      <c r="AP65" s="8"/>
      <c r="AQ65" s="8"/>
      <c r="AR65" s="8"/>
      <c r="AS65" s="8"/>
      <c r="AT65" s="8"/>
      <c r="AU65" s="8"/>
      <c r="AV65" s="8"/>
      <c r="AW65" s="8"/>
      <c r="AX65" s="8"/>
    </row>
    <row r="66" ht="15.75" customHeight="1">
      <c r="A66" s="16"/>
      <c r="B66" s="98">
        <f>IF(B64="","",B64+7)</f>
        <v>46172</v>
      </c>
      <c r="C66" s="142" t="str">
        <f t="shared" si="14"/>
        <v>Weight</v>
      </c>
      <c r="D66" s="158"/>
      <c r="E66" s="159"/>
      <c r="F66" s="159"/>
      <c r="G66" s="159"/>
      <c r="H66" s="159"/>
      <c r="I66" s="159"/>
      <c r="J66" s="160"/>
      <c r="K66" s="100" t="str">
        <f t="shared" si="6"/>
        <v/>
      </c>
      <c r="L66" s="101" t="str">
        <f>IF(K66="","",AN66)</f>
        <v/>
      </c>
      <c r="M66" s="102" t="str">
        <f>IF(AM66="", "", MROUND(BB66, 10))</f>
        <v/>
      </c>
      <c r="N66" s="149"/>
      <c r="O66" s="121" t="str">
        <f>IF(T65="","","You have")</f>
        <v/>
      </c>
      <c r="P66" s="26"/>
      <c r="Q66" s="26"/>
      <c r="R66" s="26"/>
      <c r="S66" s="122" t="str">
        <f>IF(T65="","",IF(K66&gt;F55,K66-F55,F55-K66))</f>
        <v/>
      </c>
      <c r="T66" s="123" t="str">
        <f>IF(T65="","",IF(T65="No Weight Change","",IF(F52="Lb","Lb to go!",IF(F52="Kg","Kg to go!",""))))</f>
        <v/>
      </c>
      <c r="U66" s="26"/>
      <c r="V66" s="26"/>
      <c r="W66" s="26"/>
      <c r="X66" s="124"/>
      <c r="Y66" s="109"/>
      <c r="Z66" s="80"/>
      <c r="AA66" s="81">
        <f>AA64+1</f>
        <v>28</v>
      </c>
      <c r="AB66" s="8">
        <f t="shared" si="7"/>
        <v>0</v>
      </c>
      <c r="AC66" s="7">
        <f>IF(K66="",AC64,K66)</f>
        <v>76.95714286</v>
      </c>
      <c r="AD66" s="8">
        <f>AD65</f>
        <v>77</v>
      </c>
      <c r="AE66" s="8">
        <f>IF($F$6&gt;$F$7,IF(AE64&gt;AD66,AE64+$AE$9,AD66),IF($F$6&lt;$F$7,IF(AE64&lt;AD66,AE64+$AE$9,AD66),AD66))</f>
        <v>77</v>
      </c>
      <c r="AF66" s="7" t="str">
        <f t="shared" si="16"/>
        <v/>
      </c>
      <c r="AG66" s="7" t="str">
        <f t="shared" ref="AG66:AL66" si="93">IF(E66="",AF66,E66)</f>
        <v/>
      </c>
      <c r="AH66" s="7" t="str">
        <f t="shared" si="93"/>
        <v/>
      </c>
      <c r="AI66" s="7" t="str">
        <f t="shared" si="93"/>
        <v/>
      </c>
      <c r="AJ66" s="7" t="str">
        <f t="shared" si="93"/>
        <v/>
      </c>
      <c r="AK66" s="7" t="str">
        <f t="shared" si="93"/>
        <v/>
      </c>
      <c r="AL66" s="7" t="str">
        <f t="shared" si="93"/>
        <v/>
      </c>
      <c r="AM66" s="82" t="str">
        <f t="shared" si="10"/>
        <v/>
      </c>
      <c r="AN66" s="83" t="str">
        <f>IF(AM66="","",AM66-AM64)</f>
        <v/>
      </c>
      <c r="AO66" s="84" t="str">
        <f>IF(AP66="","",IF(AN66="","",MROUND(AP66,5)))</f>
        <v/>
      </c>
      <c r="AP66" s="85">
        <f>IF(AB67=0,$AP64,IF(AB66=0,$AP64,((K67+(((-L66)*$AQ$7)/AB67)))+M64+M62+M60+M58+M56)/6)</f>
        <v>3004.379929</v>
      </c>
      <c r="AQ66" s="8"/>
      <c r="AR66" s="8"/>
      <c r="AS66" s="8"/>
      <c r="AT66" s="8"/>
      <c r="AU66" s="8"/>
      <c r="AV66" s="8"/>
      <c r="AW66" s="8"/>
      <c r="AX66" s="8"/>
      <c r="BA66" s="88">
        <f>IF(AM66="", BA64, (AM66*0.3) + (BA64*0.7))</f>
        <v>78.72274376</v>
      </c>
      <c r="BB66" s="88">
        <f>IF(AP66="", BB64, (AP66*0.3) + (BB64*0.7))</f>
        <v>3004.26964</v>
      </c>
      <c r="BC66" s="88">
        <f>IF(BB66="","", BB66*0.8)</f>
        <v>2403.415712</v>
      </c>
    </row>
    <row r="67" ht="15.75" customHeight="1">
      <c r="A67" s="16"/>
      <c r="B67" s="150"/>
      <c r="C67" s="151" t="str">
        <f t="shared" si="14"/>
        <v>Cal.</v>
      </c>
      <c r="D67" s="162"/>
      <c r="E67" s="163"/>
      <c r="F67" s="163"/>
      <c r="G67" s="163"/>
      <c r="H67" s="163"/>
      <c r="I67" s="163"/>
      <c r="J67" s="164"/>
      <c r="K67" s="125" t="str">
        <f t="shared" si="6"/>
        <v/>
      </c>
      <c r="L67" s="126"/>
      <c r="M67" s="127"/>
      <c r="N67" s="149"/>
      <c r="O67" s="128"/>
      <c r="P67" s="129"/>
      <c r="Q67" s="129"/>
      <c r="R67" s="129"/>
      <c r="S67" s="126"/>
      <c r="T67" s="130"/>
      <c r="U67" s="129"/>
      <c r="V67" s="129"/>
      <c r="W67" s="129"/>
      <c r="X67" s="131"/>
      <c r="Y67" s="109"/>
      <c r="Z67" s="80"/>
      <c r="AA67" s="81">
        <f>AA66+0.5</f>
        <v>28.5</v>
      </c>
      <c r="AB67" s="8">
        <f t="shared" si="7"/>
        <v>0</v>
      </c>
      <c r="AC67" s="7">
        <f t="shared" ref="AC67:AD67" si="94">AC66</f>
        <v>76.95714286</v>
      </c>
      <c r="AD67" s="8">
        <f t="shared" si="94"/>
        <v>77</v>
      </c>
      <c r="AE67" s="8">
        <f>IF($AE$9=0,0,(AE66+AE68)/2)</f>
        <v>77</v>
      </c>
      <c r="AF67" s="7" t="str">
        <f t="shared" si="16"/>
        <v/>
      </c>
      <c r="AG67" s="7" t="str">
        <f t="shared" ref="AG67:AL67" si="95">IF(E67="",AF67,E67)</f>
        <v/>
      </c>
      <c r="AH67" s="7" t="str">
        <f t="shared" si="95"/>
        <v/>
      </c>
      <c r="AI67" s="7" t="str">
        <f t="shared" si="95"/>
        <v/>
      </c>
      <c r="AJ67" s="7" t="str">
        <f t="shared" si="95"/>
        <v/>
      </c>
      <c r="AK67" s="7" t="str">
        <f t="shared" si="95"/>
        <v/>
      </c>
      <c r="AL67" s="7" t="str">
        <f t="shared" si="95"/>
        <v/>
      </c>
      <c r="AM67" s="97" t="str">
        <f t="shared" si="10"/>
        <v/>
      </c>
      <c r="AN67" s="37"/>
      <c r="AO67" s="37"/>
      <c r="AP67" s="8"/>
      <c r="AQ67" s="8"/>
      <c r="AR67" s="8"/>
      <c r="AS67" s="8"/>
      <c r="AT67" s="8"/>
      <c r="AU67" s="8"/>
      <c r="AV67" s="8"/>
      <c r="AW67" s="8"/>
      <c r="AX67" s="8"/>
    </row>
    <row r="68" ht="15.75" customHeight="1">
      <c r="A68" s="16"/>
      <c r="B68" s="72">
        <f>IF(B66="","",B66+7)</f>
        <v>46179</v>
      </c>
      <c r="C68" s="70" t="str">
        <f t="shared" si="14"/>
        <v>Weight</v>
      </c>
      <c r="D68" s="155"/>
      <c r="E68" s="156"/>
      <c r="F68" s="156"/>
      <c r="G68" s="156"/>
      <c r="H68" s="156"/>
      <c r="I68" s="156"/>
      <c r="J68" s="157"/>
      <c r="K68" s="76" t="str">
        <f t="shared" si="6"/>
        <v/>
      </c>
      <c r="L68" s="77" t="str">
        <f>IF(K68="","",AN68)</f>
        <v/>
      </c>
      <c r="M68" s="78" t="str">
        <f>IF(AM68="", "", MROUND(BB68, 10))</f>
        <v/>
      </c>
      <c r="N68" s="149"/>
      <c r="O68" s="79"/>
      <c r="P68" s="79"/>
      <c r="Q68" s="79"/>
      <c r="R68" s="79"/>
      <c r="S68" s="50"/>
      <c r="T68" s="79"/>
      <c r="U68" s="50"/>
      <c r="V68" s="79"/>
      <c r="W68" s="79"/>
      <c r="X68" s="79"/>
      <c r="Y68" s="80"/>
      <c r="Z68" s="80"/>
      <c r="AA68" s="81">
        <f>AA66+1</f>
        <v>29</v>
      </c>
      <c r="AB68" s="8">
        <f t="shared" si="7"/>
        <v>0</v>
      </c>
      <c r="AC68" s="7">
        <f>IF(K68="",AC66,K68)</f>
        <v>76.95714286</v>
      </c>
      <c r="AD68" s="8">
        <f>AD67</f>
        <v>77</v>
      </c>
      <c r="AE68" s="8">
        <f>IF($F$6&gt;$F$7,IF(AE66&gt;AD68,AE66+$AE$9,AD68),IF($F$6&lt;$F$7,IF(AE66&lt;AD68,AE66+$AE$9,AD68),AD68))</f>
        <v>77</v>
      </c>
      <c r="AF68" s="7" t="str">
        <f t="shared" si="16"/>
        <v/>
      </c>
      <c r="AG68" s="7" t="str">
        <f t="shared" ref="AG68:AL68" si="96">IF(E68="",AF68,E68)</f>
        <v/>
      </c>
      <c r="AH68" s="7" t="str">
        <f t="shared" si="96"/>
        <v/>
      </c>
      <c r="AI68" s="7" t="str">
        <f t="shared" si="96"/>
        <v/>
      </c>
      <c r="AJ68" s="7" t="str">
        <f t="shared" si="96"/>
        <v/>
      </c>
      <c r="AK68" s="7" t="str">
        <f t="shared" si="96"/>
        <v/>
      </c>
      <c r="AL68" s="7" t="str">
        <f t="shared" si="96"/>
        <v/>
      </c>
      <c r="AM68" s="82" t="str">
        <f t="shared" si="10"/>
        <v/>
      </c>
      <c r="AN68" s="83" t="str">
        <f>IF(AM68="","",AM68-AM66)</f>
        <v/>
      </c>
      <c r="AO68" s="84" t="str">
        <f>IF(AP68="","",IF(AN68="","",MROUND(AP68,5)))</f>
        <v/>
      </c>
      <c r="AP68" s="85">
        <f>IF(AB69=0,$AP66,IF(AB68=0,$AP66,((K69+(((-L68)*$AQ$7)/AB69)))+M66+M64+M62+M60+M58)/6)</f>
        <v>3004.379929</v>
      </c>
      <c r="AQ68" s="8"/>
      <c r="AR68" s="8"/>
      <c r="AS68" s="8"/>
      <c r="AT68" s="8"/>
      <c r="AU68" s="8"/>
      <c r="AV68" s="8"/>
      <c r="AW68" s="8"/>
      <c r="AX68" s="8"/>
      <c r="BA68" s="88">
        <f>IF(AM68="", BA66, (AM68*0.3) + (BA66*0.7))</f>
        <v>78.72274376</v>
      </c>
      <c r="BB68" s="88">
        <f>IF(AP68="", BB66, (AP68*0.3) + (BB66*0.7))</f>
        <v>3004.302727</v>
      </c>
      <c r="BC68" s="88">
        <f>IF(BB68="","", BB68*0.8)</f>
        <v>2403.442181</v>
      </c>
    </row>
    <row r="69" ht="15.75" customHeight="1">
      <c r="A69" s="16"/>
      <c r="B69" s="110"/>
      <c r="C69" s="137" t="str">
        <f t="shared" si="14"/>
        <v>Cal.</v>
      </c>
      <c r="D69" s="158"/>
      <c r="E69" s="159"/>
      <c r="F69" s="159"/>
      <c r="G69" s="159"/>
      <c r="H69" s="159"/>
      <c r="I69" s="159"/>
      <c r="J69" s="160"/>
      <c r="K69" s="94" t="str">
        <f t="shared" si="6"/>
        <v/>
      </c>
      <c r="L69" s="95"/>
      <c r="M69" s="96"/>
      <c r="N69" s="149"/>
      <c r="O69" s="79"/>
      <c r="P69" s="79"/>
      <c r="Q69" s="79"/>
      <c r="R69" s="79"/>
      <c r="S69" s="50"/>
      <c r="T69" s="79"/>
      <c r="U69" s="50"/>
      <c r="V69" s="79"/>
      <c r="W69" s="79"/>
      <c r="X69" s="79"/>
      <c r="Y69" s="80"/>
      <c r="Z69" s="80"/>
      <c r="AA69" s="81">
        <f>AA68+0.5</f>
        <v>29.5</v>
      </c>
      <c r="AB69" s="8">
        <f t="shared" si="7"/>
        <v>0</v>
      </c>
      <c r="AC69" s="7">
        <f t="shared" ref="AC69:AD69" si="97">AC68</f>
        <v>76.95714286</v>
      </c>
      <c r="AD69" s="8">
        <f t="shared" si="97"/>
        <v>77</v>
      </c>
      <c r="AE69" s="8">
        <f>IF($AE$9=0,0,(AE68+AE70)/2)</f>
        <v>77</v>
      </c>
      <c r="AF69" s="7" t="str">
        <f t="shared" si="16"/>
        <v/>
      </c>
      <c r="AG69" s="7" t="str">
        <f t="shared" ref="AG69:AL69" si="98">IF(E69="",AF69,E69)</f>
        <v/>
      </c>
      <c r="AH69" s="7" t="str">
        <f t="shared" si="98"/>
        <v/>
      </c>
      <c r="AI69" s="7" t="str">
        <f t="shared" si="98"/>
        <v/>
      </c>
      <c r="AJ69" s="7" t="str">
        <f t="shared" si="98"/>
        <v/>
      </c>
      <c r="AK69" s="7" t="str">
        <f t="shared" si="98"/>
        <v/>
      </c>
      <c r="AL69" s="7" t="str">
        <f t="shared" si="98"/>
        <v/>
      </c>
      <c r="AM69" s="97" t="str">
        <f t="shared" si="10"/>
        <v/>
      </c>
      <c r="AN69" s="37"/>
      <c r="AO69" s="37"/>
      <c r="AP69" s="8"/>
      <c r="AQ69" s="8"/>
      <c r="AR69" s="8"/>
      <c r="AS69" s="8"/>
      <c r="AT69" s="8"/>
      <c r="AU69" s="8"/>
      <c r="AV69" s="8"/>
      <c r="AW69" s="8"/>
      <c r="AX69" s="8"/>
    </row>
    <row r="70" ht="15.75" customHeight="1">
      <c r="A70" s="16"/>
      <c r="B70" s="98">
        <f>IF(B68="","",B68+7)</f>
        <v>46186</v>
      </c>
      <c r="C70" s="142" t="str">
        <f t="shared" si="14"/>
        <v>Weight</v>
      </c>
      <c r="D70" s="158"/>
      <c r="E70" s="159"/>
      <c r="F70" s="159"/>
      <c r="G70" s="159"/>
      <c r="H70" s="159"/>
      <c r="I70" s="159"/>
      <c r="J70" s="160"/>
      <c r="K70" s="100" t="str">
        <f t="shared" si="6"/>
        <v/>
      </c>
      <c r="L70" s="101" t="str">
        <f>IF(K70="","",AN70)</f>
        <v/>
      </c>
      <c r="M70" s="102" t="str">
        <f>IF(AM70="", "", MROUND(BB70, 10))</f>
        <v/>
      </c>
      <c r="N70" s="149"/>
      <c r="O70" s="103" t="str">
        <f>IF(M74="","","From")</f>
        <v/>
      </c>
      <c r="P70" s="104"/>
      <c r="Q70" s="105" t="str">
        <f>IF(M74="","",B68)</f>
        <v/>
      </c>
      <c r="R70" s="104"/>
      <c r="S70" s="104"/>
      <c r="T70" s="106" t="str">
        <f>IF(M74="","","to")</f>
        <v/>
      </c>
      <c r="U70" s="107" t="str">
        <f>IF(M74="","",B74)</f>
        <v/>
      </c>
      <c r="V70" s="104"/>
      <c r="W70" s="104"/>
      <c r="X70" s="108"/>
      <c r="Y70" s="109"/>
      <c r="Z70" s="80"/>
      <c r="AA70" s="81">
        <f>AA68+1</f>
        <v>30</v>
      </c>
      <c r="AB70" s="8">
        <f t="shared" si="7"/>
        <v>0</v>
      </c>
      <c r="AC70" s="7">
        <f>IF(K70="",AC68,K70)</f>
        <v>76.95714286</v>
      </c>
      <c r="AD70" s="8">
        <f>AD69</f>
        <v>77</v>
      </c>
      <c r="AE70" s="8">
        <f>IF($F$6&gt;$F$7,IF(AE68&gt;AD70,AE68+$AE$9,AD70),IF($F$6&lt;$F$7,IF(AE68&lt;AD70,AE68+$AE$9,AD70),AD70))</f>
        <v>77</v>
      </c>
      <c r="AF70" s="7" t="str">
        <f t="shared" si="16"/>
        <v/>
      </c>
      <c r="AG70" s="7" t="str">
        <f t="shared" ref="AG70:AL70" si="99">IF(E70="",AF70,E70)</f>
        <v/>
      </c>
      <c r="AH70" s="7" t="str">
        <f t="shared" si="99"/>
        <v/>
      </c>
      <c r="AI70" s="7" t="str">
        <f t="shared" si="99"/>
        <v/>
      </c>
      <c r="AJ70" s="7" t="str">
        <f t="shared" si="99"/>
        <v/>
      </c>
      <c r="AK70" s="7" t="str">
        <f t="shared" si="99"/>
        <v/>
      </c>
      <c r="AL70" s="7" t="str">
        <f t="shared" si="99"/>
        <v/>
      </c>
      <c r="AM70" s="82" t="str">
        <f t="shared" si="10"/>
        <v/>
      </c>
      <c r="AN70" s="83" t="str">
        <f>IF(AM70="","",AM70-AM68)</f>
        <v/>
      </c>
      <c r="AO70" s="84" t="str">
        <f>IF(AP70="","",IF(AN70="","",MROUND(AP70,5)))</f>
        <v/>
      </c>
      <c r="AP70" s="85">
        <f>IF(AB71=0,$AP68,IF(AB70=0,$AP68,((K71+(((-L70)*$AQ$7)/AB71)))+M68+M66+M64+M62+M60)/6)</f>
        <v>3004.379929</v>
      </c>
      <c r="AQ70" s="8"/>
      <c r="AR70" s="8"/>
      <c r="AS70" s="8"/>
      <c r="AT70" s="8"/>
      <c r="AU70" s="8"/>
      <c r="AV70" s="8"/>
      <c r="AW70" s="8"/>
      <c r="AX70" s="8"/>
      <c r="BA70" s="88">
        <f>IF(AM70="", BA68, (AM70*0.3) + (BA68*0.7))</f>
        <v>78.72274376</v>
      </c>
      <c r="BB70" s="88">
        <f>IF(AP70="", BB68, (AP70*0.3) + (BB68*0.7))</f>
        <v>3004.325887</v>
      </c>
      <c r="BC70" s="88">
        <f>IF(BB70="","", BB70*0.8)</f>
        <v>2403.46071</v>
      </c>
    </row>
    <row r="71" ht="15.75" customHeight="1">
      <c r="A71" s="16"/>
      <c r="B71" s="110"/>
      <c r="C71" s="146" t="str">
        <f t="shared" si="14"/>
        <v>Cal.</v>
      </c>
      <c r="D71" s="158"/>
      <c r="E71" s="159"/>
      <c r="F71" s="159"/>
      <c r="G71" s="159"/>
      <c r="H71" s="159"/>
      <c r="I71" s="159"/>
      <c r="J71" s="160"/>
      <c r="K71" s="94" t="str">
        <f t="shared" si="6"/>
        <v/>
      </c>
      <c r="L71" s="95"/>
      <c r="M71" s="96"/>
      <c r="N71" s="149"/>
      <c r="O71" s="112"/>
      <c r="Q71" s="36"/>
      <c r="T71" s="37"/>
      <c r="U71" s="36"/>
      <c r="X71" s="113"/>
      <c r="Y71" s="109"/>
      <c r="Z71" s="80"/>
      <c r="AA71" s="81">
        <f>AA70+0.5</f>
        <v>30.5</v>
      </c>
      <c r="AB71" s="8">
        <f t="shared" si="7"/>
        <v>0</v>
      </c>
      <c r="AC71" s="7">
        <f t="shared" ref="AC71:AD71" si="100">AC70</f>
        <v>76.95714286</v>
      </c>
      <c r="AD71" s="8">
        <f t="shared" si="100"/>
        <v>77</v>
      </c>
      <c r="AE71" s="8">
        <f>IF($AE$9=0,0,(AE70+AE72)/2)</f>
        <v>77</v>
      </c>
      <c r="AF71" s="7" t="str">
        <f t="shared" si="16"/>
        <v/>
      </c>
      <c r="AG71" s="7" t="str">
        <f t="shared" ref="AG71:AL71" si="101">IF(E71="",AF71,E71)</f>
        <v/>
      </c>
      <c r="AH71" s="7" t="str">
        <f t="shared" si="101"/>
        <v/>
      </c>
      <c r="AI71" s="7" t="str">
        <f t="shared" si="101"/>
        <v/>
      </c>
      <c r="AJ71" s="7" t="str">
        <f t="shared" si="101"/>
        <v/>
      </c>
      <c r="AK71" s="7" t="str">
        <f t="shared" si="101"/>
        <v/>
      </c>
      <c r="AL71" s="7" t="str">
        <f t="shared" si="101"/>
        <v/>
      </c>
      <c r="AM71" s="97" t="str">
        <f t="shared" si="10"/>
        <v/>
      </c>
      <c r="AN71" s="37"/>
      <c r="AO71" s="37"/>
      <c r="AP71" s="8"/>
      <c r="AQ71" s="8"/>
      <c r="AR71" s="8"/>
      <c r="AS71" s="8"/>
      <c r="AT71" s="8"/>
      <c r="AU71" s="8"/>
      <c r="AV71" s="8"/>
      <c r="AW71" s="8"/>
      <c r="AX71" s="8"/>
    </row>
    <row r="72" ht="15.75" customHeight="1">
      <c r="A72" s="16"/>
      <c r="B72" s="98">
        <f>IF(B70="","",B70+7)</f>
        <v>46193</v>
      </c>
      <c r="C72" s="142" t="str">
        <f t="shared" si="14"/>
        <v>Weight</v>
      </c>
      <c r="D72" s="158"/>
      <c r="E72" s="159"/>
      <c r="F72" s="159"/>
      <c r="G72" s="159"/>
      <c r="H72" s="159"/>
      <c r="I72" s="159"/>
      <c r="J72" s="160"/>
      <c r="K72" s="100" t="str">
        <f t="shared" si="6"/>
        <v/>
      </c>
      <c r="L72" s="101" t="str">
        <f>IF(K72="","",AN72)</f>
        <v/>
      </c>
      <c r="M72" s="102" t="str">
        <f>IF(AM72="", "", MROUND(BB72, 10))</f>
        <v/>
      </c>
      <c r="N72" s="149"/>
      <c r="O72" s="114" t="str">
        <f>IF(M74="","",IF(K74=K66,"No Weight Change",IF(K74&gt;K66,"You Gained:","You Lost:")))</f>
        <v/>
      </c>
      <c r="P72" s="14"/>
      <c r="Q72" s="14"/>
      <c r="R72" s="14"/>
      <c r="S72" s="14"/>
      <c r="T72" s="14"/>
      <c r="U72" s="115" t="str">
        <f>IF(M74="","",IF(K74=K66,"",IF(K74&gt;K66,K74-K66,K66-K74)))</f>
        <v/>
      </c>
      <c r="V72" s="116" t="str">
        <f>IF(O72="","",IF(O72="No Weight Change","",IF($F$4="Lb","Lb",IF($F$4="Kg","Kg",""))))</f>
        <v/>
      </c>
      <c r="W72" s="14"/>
      <c r="X72" s="117"/>
      <c r="Y72" s="109"/>
      <c r="Z72" s="80"/>
      <c r="AA72" s="81">
        <f>AA70+1</f>
        <v>31</v>
      </c>
      <c r="AB72" s="8">
        <f t="shared" si="7"/>
        <v>0</v>
      </c>
      <c r="AC72" s="7">
        <f>IF(K72="",AC70,K72)</f>
        <v>76.95714286</v>
      </c>
      <c r="AD72" s="8">
        <f>AD71</f>
        <v>77</v>
      </c>
      <c r="AE72" s="8">
        <f>IF($F$6&gt;$F$7,IF(AE70&gt;AD72,AE70+$AE$9,AD72),IF($F$6&lt;$F$7,IF(AE70&lt;AD72,AE70+$AE$9,AD72),AD72))</f>
        <v>77</v>
      </c>
      <c r="AF72" s="7" t="str">
        <f t="shared" si="16"/>
        <v/>
      </c>
      <c r="AG72" s="7" t="str">
        <f t="shared" ref="AG72:AL72" si="102">IF(E72="",AF72,E72)</f>
        <v/>
      </c>
      <c r="AH72" s="7" t="str">
        <f t="shared" si="102"/>
        <v/>
      </c>
      <c r="AI72" s="7" t="str">
        <f t="shared" si="102"/>
        <v/>
      </c>
      <c r="AJ72" s="7" t="str">
        <f t="shared" si="102"/>
        <v/>
      </c>
      <c r="AK72" s="7" t="str">
        <f t="shared" si="102"/>
        <v/>
      </c>
      <c r="AL72" s="7" t="str">
        <f t="shared" si="102"/>
        <v/>
      </c>
      <c r="AM72" s="82" t="str">
        <f t="shared" si="10"/>
        <v/>
      </c>
      <c r="AN72" s="83" t="str">
        <f>IF(AM72="","",AM72-AM70)</f>
        <v/>
      </c>
      <c r="AO72" s="84" t="str">
        <f>IF(AP72="","",IF(AN72="","",MROUND(AP72,5)))</f>
        <v/>
      </c>
      <c r="AP72" s="85">
        <f>IF(AB73=0,$AP70,IF(AB72=0,$AP70,((K73+(((-L72)*$AQ$7)/AB73)))+M70+M68+M66+M64+M62)/6)</f>
        <v>3004.379929</v>
      </c>
      <c r="AQ72" s="8"/>
      <c r="AR72" s="8"/>
      <c r="AS72" s="8"/>
      <c r="AT72" s="8"/>
      <c r="AU72" s="8"/>
      <c r="AV72" s="8"/>
      <c r="AW72" s="8"/>
      <c r="AX72" s="8"/>
      <c r="BA72" s="88">
        <f>IF(AM72="", BA70, (AM72*0.3) + (BA70*0.7))</f>
        <v>78.72274376</v>
      </c>
      <c r="BB72" s="88">
        <f>IF(AP72="", BB70, (AP72*0.3) + (BB70*0.7))</f>
        <v>3004.3421</v>
      </c>
      <c r="BC72" s="88">
        <f>IF(BB72="","", BB72*0.8)</f>
        <v>2403.47368</v>
      </c>
    </row>
    <row r="73" ht="15.75" customHeight="1">
      <c r="A73" s="16"/>
      <c r="B73" s="110"/>
      <c r="C73" s="146" t="str">
        <f t="shared" si="14"/>
        <v>Cal.</v>
      </c>
      <c r="D73" s="158"/>
      <c r="E73" s="159"/>
      <c r="F73" s="159"/>
      <c r="G73" s="159"/>
      <c r="H73" s="159"/>
      <c r="I73" s="159"/>
      <c r="J73" s="160"/>
      <c r="K73" s="94" t="str">
        <f t="shared" si="6"/>
        <v/>
      </c>
      <c r="L73" s="95"/>
      <c r="M73" s="96"/>
      <c r="N73" s="149"/>
      <c r="O73" s="118" t="str">
        <f>IF(M74="","",IF(K74=K66,"","At a Rate Of"))</f>
        <v/>
      </c>
      <c r="P73" s="14"/>
      <c r="Q73" s="14"/>
      <c r="R73" s="14"/>
      <c r="S73" s="14"/>
      <c r="T73" s="119" t="str">
        <f>IF(O73="","",U72/4)</f>
        <v/>
      </c>
      <c r="U73" s="14"/>
      <c r="V73" s="120" t="str">
        <f>IF(O72="","",IF(O72="No Weight Change","",IF($F$4="Lb","Lb/Wk",IF($F$4="Kg","Kg/Wk",""))))</f>
        <v/>
      </c>
      <c r="W73" s="14"/>
      <c r="X73" s="117"/>
      <c r="Y73" s="109"/>
      <c r="Z73" s="80"/>
      <c r="AA73" s="81">
        <f>AA72+0.5</f>
        <v>31.5</v>
      </c>
      <c r="AB73" s="8">
        <f t="shared" si="7"/>
        <v>0</v>
      </c>
      <c r="AC73" s="7">
        <f t="shared" ref="AC73:AD73" si="103">AC72</f>
        <v>76.95714286</v>
      </c>
      <c r="AD73" s="8">
        <f t="shared" si="103"/>
        <v>77</v>
      </c>
      <c r="AE73" s="8">
        <f>IF($AE$9=0,0,(AE72+AE74)/2)</f>
        <v>77</v>
      </c>
      <c r="AF73" s="7" t="str">
        <f t="shared" si="16"/>
        <v/>
      </c>
      <c r="AG73" s="7" t="str">
        <f t="shared" ref="AG73:AL73" si="104">IF(E73="",AF73,E73)</f>
        <v/>
      </c>
      <c r="AH73" s="7" t="str">
        <f t="shared" si="104"/>
        <v/>
      </c>
      <c r="AI73" s="7" t="str">
        <f t="shared" si="104"/>
        <v/>
      </c>
      <c r="AJ73" s="7" t="str">
        <f t="shared" si="104"/>
        <v/>
      </c>
      <c r="AK73" s="7" t="str">
        <f t="shared" si="104"/>
        <v/>
      </c>
      <c r="AL73" s="7" t="str">
        <f t="shared" si="104"/>
        <v/>
      </c>
      <c r="AM73" s="97" t="str">
        <f t="shared" si="10"/>
        <v/>
      </c>
      <c r="AN73" s="37"/>
      <c r="AO73" s="37"/>
      <c r="AP73" s="8"/>
      <c r="AQ73" s="8"/>
      <c r="AR73" s="8"/>
      <c r="AS73" s="8"/>
      <c r="AT73" s="8"/>
      <c r="AU73" s="8"/>
      <c r="AV73" s="8"/>
      <c r="AW73" s="8"/>
      <c r="AX73" s="8"/>
    </row>
    <row r="74" ht="15.75" customHeight="1">
      <c r="A74" s="16"/>
      <c r="B74" s="98">
        <f>IF(B72="","",B72+7)</f>
        <v>46200</v>
      </c>
      <c r="C74" s="142" t="str">
        <f t="shared" si="14"/>
        <v>Weight</v>
      </c>
      <c r="D74" s="158"/>
      <c r="E74" s="159"/>
      <c r="F74" s="159"/>
      <c r="G74" s="159"/>
      <c r="H74" s="159"/>
      <c r="I74" s="159"/>
      <c r="J74" s="160"/>
      <c r="K74" s="100" t="str">
        <f t="shared" si="6"/>
        <v/>
      </c>
      <c r="L74" s="101" t="str">
        <f>IF(K74="","",AN74)</f>
        <v/>
      </c>
      <c r="M74" s="102" t="str">
        <f>IF(AM74="", "", MROUND(BB74, 10))</f>
        <v/>
      </c>
      <c r="N74" s="149"/>
      <c r="O74" s="121" t="str">
        <f>IF(T73="","","You have")</f>
        <v/>
      </c>
      <c r="P74" s="26"/>
      <c r="Q74" s="26"/>
      <c r="R74" s="26"/>
      <c r="S74" s="122" t="str">
        <f>IF(T73="","",IF(K74&gt;F63,K74-F63,F63-K74))</f>
        <v/>
      </c>
      <c r="T74" s="123" t="str">
        <f>IF(T73="","",IF(T73="No Weight Change","",IF(F60="Lb","Lb to go!",IF(F60="Kg","Kg to go!",""))))</f>
        <v/>
      </c>
      <c r="U74" s="26"/>
      <c r="V74" s="26"/>
      <c r="W74" s="26"/>
      <c r="X74" s="124"/>
      <c r="Y74" s="109"/>
      <c r="Z74" s="80"/>
      <c r="AA74" s="81">
        <f>AA72+1</f>
        <v>32</v>
      </c>
      <c r="AB74" s="8">
        <f t="shared" si="7"/>
        <v>0</v>
      </c>
      <c r="AC74" s="7">
        <f>IF(K74="",AC72,K74)</f>
        <v>76.95714286</v>
      </c>
      <c r="AD74" s="8">
        <f>AD73</f>
        <v>77</v>
      </c>
      <c r="AE74" s="8">
        <f>IF($F$6&gt;$F$7,IF(AE72&gt;AD74,AE72+$AE$9,AD74),IF($F$6&lt;$F$7,IF(AE72&lt;AD74,AE72+$AE$9,AD74),AD74))</f>
        <v>77</v>
      </c>
      <c r="AF74" s="7" t="str">
        <f t="shared" si="16"/>
        <v/>
      </c>
      <c r="AG74" s="7" t="str">
        <f t="shared" ref="AG74:AL74" si="105">IF(E74="",AF74,E74)</f>
        <v/>
      </c>
      <c r="AH74" s="7" t="str">
        <f t="shared" si="105"/>
        <v/>
      </c>
      <c r="AI74" s="7" t="str">
        <f t="shared" si="105"/>
        <v/>
      </c>
      <c r="AJ74" s="7" t="str">
        <f t="shared" si="105"/>
        <v/>
      </c>
      <c r="AK74" s="7" t="str">
        <f t="shared" si="105"/>
        <v/>
      </c>
      <c r="AL74" s="7" t="str">
        <f t="shared" si="105"/>
        <v/>
      </c>
      <c r="AM74" s="82" t="str">
        <f t="shared" si="10"/>
        <v/>
      </c>
      <c r="AN74" s="83" t="str">
        <f>IF(AM74="","",AM74-AM72)</f>
        <v/>
      </c>
      <c r="AO74" s="84" t="str">
        <f>IF(AP74="","",IF(AN74="","",MROUND(AP74,5)))</f>
        <v/>
      </c>
      <c r="AP74" s="85">
        <f>IF(AB75=0,$AP72,IF(AB74=0,$AP72,((K75+(((-L74)*$AQ$7)/AB75)))+M72+M70+M68+M66+M64)/6)</f>
        <v>3004.379929</v>
      </c>
      <c r="AQ74" s="8"/>
      <c r="AR74" s="8"/>
      <c r="AS74" s="8"/>
      <c r="AT74" s="8"/>
      <c r="AU74" s="8"/>
      <c r="AV74" s="8"/>
      <c r="AW74" s="8"/>
      <c r="AX74" s="8"/>
      <c r="BA74" s="88">
        <f>IF(AM74="", BA72, (AM74*0.3) + (BA72*0.7))</f>
        <v>78.72274376</v>
      </c>
      <c r="BB74" s="88">
        <f>IF(AP74="", BB72, (AP74*0.3) + (BB72*0.7))</f>
        <v>3004.353448</v>
      </c>
      <c r="BC74" s="88">
        <f>IF(BB74="","", BB74*0.8)</f>
        <v>2403.482759</v>
      </c>
    </row>
    <row r="75" ht="15.75" customHeight="1">
      <c r="A75" s="16"/>
      <c r="B75" s="150"/>
      <c r="C75" s="151" t="str">
        <f t="shared" si="14"/>
        <v>Cal.</v>
      </c>
      <c r="D75" s="162"/>
      <c r="E75" s="163"/>
      <c r="F75" s="163"/>
      <c r="G75" s="163"/>
      <c r="H75" s="163"/>
      <c r="I75" s="163"/>
      <c r="J75" s="164"/>
      <c r="K75" s="125" t="str">
        <f t="shared" si="6"/>
        <v/>
      </c>
      <c r="L75" s="126"/>
      <c r="M75" s="127"/>
      <c r="N75" s="149"/>
      <c r="O75" s="128"/>
      <c r="P75" s="129"/>
      <c r="Q75" s="129"/>
      <c r="R75" s="129"/>
      <c r="S75" s="126"/>
      <c r="T75" s="130"/>
      <c r="U75" s="129"/>
      <c r="V75" s="129"/>
      <c r="W75" s="129"/>
      <c r="X75" s="131"/>
      <c r="Y75" s="109"/>
      <c r="Z75" s="80"/>
      <c r="AA75" s="81">
        <f>AA74+0.5</f>
        <v>32.5</v>
      </c>
      <c r="AB75" s="8">
        <f t="shared" si="7"/>
        <v>0</v>
      </c>
      <c r="AC75" s="7">
        <f t="shared" ref="AC75:AD75" si="106">AC74</f>
        <v>76.95714286</v>
      </c>
      <c r="AD75" s="8">
        <f t="shared" si="106"/>
        <v>77</v>
      </c>
      <c r="AE75" s="8">
        <f>IF($AE$9=0,0,(AE74+AE76)/2)</f>
        <v>77</v>
      </c>
      <c r="AF75" s="7" t="str">
        <f t="shared" si="16"/>
        <v/>
      </c>
      <c r="AG75" s="7" t="str">
        <f t="shared" ref="AG75:AL75" si="107">IF(E75="",AF75,E75)</f>
        <v/>
      </c>
      <c r="AH75" s="7" t="str">
        <f t="shared" si="107"/>
        <v/>
      </c>
      <c r="AI75" s="7" t="str">
        <f t="shared" si="107"/>
        <v/>
      </c>
      <c r="AJ75" s="7" t="str">
        <f t="shared" si="107"/>
        <v/>
      </c>
      <c r="AK75" s="7" t="str">
        <f t="shared" si="107"/>
        <v/>
      </c>
      <c r="AL75" s="7" t="str">
        <f t="shared" si="107"/>
        <v/>
      </c>
      <c r="AM75" s="97" t="str">
        <f t="shared" si="10"/>
        <v/>
      </c>
      <c r="AN75" s="37"/>
      <c r="AO75" s="37"/>
      <c r="AP75" s="8"/>
      <c r="AQ75" s="8"/>
      <c r="AR75" s="8"/>
      <c r="AS75" s="8"/>
      <c r="AT75" s="8"/>
      <c r="AU75" s="8"/>
      <c r="AV75" s="8"/>
      <c r="AW75" s="8"/>
      <c r="AX75" s="8"/>
    </row>
    <row r="76" ht="15.75" customHeight="1">
      <c r="A76" s="16"/>
      <c r="B76" s="72">
        <f>IF(B74="","",B74+7)</f>
        <v>46207</v>
      </c>
      <c r="C76" s="70" t="str">
        <f t="shared" si="14"/>
        <v>Weight</v>
      </c>
      <c r="D76" s="155"/>
      <c r="E76" s="156"/>
      <c r="F76" s="156"/>
      <c r="G76" s="156"/>
      <c r="H76" s="156"/>
      <c r="I76" s="156"/>
      <c r="J76" s="157"/>
      <c r="K76" s="76" t="str">
        <f t="shared" si="6"/>
        <v/>
      </c>
      <c r="L76" s="77" t="str">
        <f>IF(K76="","",AN76)</f>
        <v/>
      </c>
      <c r="M76" s="78" t="str">
        <f>IF(AM76="", "", MROUND(BB76, 10))</f>
        <v/>
      </c>
      <c r="N76" s="149"/>
      <c r="O76" s="79"/>
      <c r="P76" s="79"/>
      <c r="Q76" s="79"/>
      <c r="R76" s="79"/>
      <c r="S76" s="50"/>
      <c r="T76" s="79"/>
      <c r="U76" s="50"/>
      <c r="V76" s="79"/>
      <c r="W76" s="79"/>
      <c r="X76" s="79"/>
      <c r="Y76" s="80"/>
      <c r="Z76" s="80"/>
      <c r="AA76" s="81">
        <f>AA74+1</f>
        <v>33</v>
      </c>
      <c r="AB76" s="8">
        <f t="shared" si="7"/>
        <v>0</v>
      </c>
      <c r="AC76" s="7">
        <f>IF(K76="",AC74,K76)</f>
        <v>76.95714286</v>
      </c>
      <c r="AD76" s="8">
        <f>AD75</f>
        <v>77</v>
      </c>
      <c r="AE76" s="8">
        <f>IF($F$6&gt;$F$7,IF(AE74&gt;AD76,AE74+$AE$9,AD76),IF($F$6&lt;$F$7,IF(AE74&lt;AD76,AE74+$AE$9,AD76),AD76))</f>
        <v>77</v>
      </c>
      <c r="AF76" s="7" t="str">
        <f t="shared" si="16"/>
        <v/>
      </c>
      <c r="AG76" s="7" t="str">
        <f t="shared" ref="AG76:AL76" si="108">IF(E76="",AF76,E76)</f>
        <v/>
      </c>
      <c r="AH76" s="7" t="str">
        <f t="shared" si="108"/>
        <v/>
      </c>
      <c r="AI76" s="7" t="str">
        <f t="shared" si="108"/>
        <v/>
      </c>
      <c r="AJ76" s="7" t="str">
        <f t="shared" si="108"/>
        <v/>
      </c>
      <c r="AK76" s="7" t="str">
        <f t="shared" si="108"/>
        <v/>
      </c>
      <c r="AL76" s="7" t="str">
        <f t="shared" si="108"/>
        <v/>
      </c>
      <c r="AM76" s="82" t="str">
        <f t="shared" si="10"/>
        <v/>
      </c>
      <c r="AN76" s="83" t="str">
        <f>IF(AM76="","",AM76-AM74)</f>
        <v/>
      </c>
      <c r="AO76" s="84" t="str">
        <f>IF(AP76="","",IF(AN76="","",MROUND(AP76,5)))</f>
        <v/>
      </c>
      <c r="AP76" s="85">
        <f>IF(AB77=0,$AP74,IF(AB76=0,$AP74,((K77+(((-L76)*$AQ$7)/AB77)))+M74+M72+M70+M68+M66)/6)</f>
        <v>3004.379929</v>
      </c>
      <c r="AQ76" s="8"/>
      <c r="AR76" s="8"/>
      <c r="AS76" s="8"/>
      <c r="AT76" s="8"/>
      <c r="AU76" s="8"/>
      <c r="AV76" s="8"/>
      <c r="AW76" s="8"/>
      <c r="AX76" s="8"/>
      <c r="BA76" s="88">
        <f>IF(AM76="", BA74, (AM76*0.3) + (BA74*0.7))</f>
        <v>78.72274376</v>
      </c>
      <c r="BB76" s="88">
        <f>IF(AP76="", BB74, (AP76*0.3) + (BB74*0.7))</f>
        <v>3004.361392</v>
      </c>
      <c r="BC76" s="88">
        <f>IF(BB76="","", BB76*0.8)</f>
        <v>2403.489114</v>
      </c>
    </row>
    <row r="77" ht="15.75" customHeight="1">
      <c r="A77" s="16"/>
      <c r="B77" s="110"/>
      <c r="C77" s="137" t="str">
        <f t="shared" si="14"/>
        <v>Cal.</v>
      </c>
      <c r="D77" s="158"/>
      <c r="E77" s="159"/>
      <c r="F77" s="159"/>
      <c r="G77" s="159"/>
      <c r="H77" s="159"/>
      <c r="I77" s="159"/>
      <c r="J77" s="160"/>
      <c r="K77" s="94" t="str">
        <f t="shared" si="6"/>
        <v/>
      </c>
      <c r="L77" s="95"/>
      <c r="M77" s="96"/>
      <c r="N77" s="149"/>
      <c r="O77" s="79"/>
      <c r="P77" s="79"/>
      <c r="Q77" s="79"/>
      <c r="R77" s="79"/>
      <c r="S77" s="50"/>
      <c r="T77" s="79"/>
      <c r="U77" s="50"/>
      <c r="V77" s="79"/>
      <c r="W77" s="79"/>
      <c r="X77" s="79"/>
      <c r="Y77" s="80"/>
      <c r="Z77" s="80"/>
      <c r="AA77" s="81">
        <f>AA76+0.5</f>
        <v>33.5</v>
      </c>
      <c r="AB77" s="8">
        <f t="shared" si="7"/>
        <v>0</v>
      </c>
      <c r="AC77" s="7">
        <f t="shared" ref="AC77:AD77" si="109">AC76</f>
        <v>76.95714286</v>
      </c>
      <c r="AD77" s="8">
        <f t="shared" si="109"/>
        <v>77</v>
      </c>
      <c r="AE77" s="8">
        <f>IF($AE$9=0,0,(AE76+AE78)/2)</f>
        <v>77</v>
      </c>
      <c r="AF77" s="7" t="str">
        <f t="shared" si="16"/>
        <v/>
      </c>
      <c r="AG77" s="7" t="str">
        <f t="shared" ref="AG77:AL77" si="110">IF(E77="",AF77,E77)</f>
        <v/>
      </c>
      <c r="AH77" s="7" t="str">
        <f t="shared" si="110"/>
        <v/>
      </c>
      <c r="AI77" s="7" t="str">
        <f t="shared" si="110"/>
        <v/>
      </c>
      <c r="AJ77" s="7" t="str">
        <f t="shared" si="110"/>
        <v/>
      </c>
      <c r="AK77" s="7" t="str">
        <f t="shared" si="110"/>
        <v/>
      </c>
      <c r="AL77" s="7" t="str">
        <f t="shared" si="110"/>
        <v/>
      </c>
      <c r="AM77" s="97" t="str">
        <f t="shared" si="10"/>
        <v/>
      </c>
      <c r="AN77" s="37"/>
      <c r="AO77" s="37"/>
      <c r="AP77" s="8"/>
      <c r="AQ77" s="8"/>
      <c r="AR77" s="8"/>
      <c r="AS77" s="8"/>
      <c r="AT77" s="8"/>
      <c r="AU77" s="8"/>
      <c r="AV77" s="8"/>
      <c r="AW77" s="8"/>
      <c r="AX77" s="8"/>
    </row>
    <row r="78" ht="15.75" customHeight="1">
      <c r="A78" s="16"/>
      <c r="B78" s="98">
        <f>IF(B76="","",B76+7)</f>
        <v>46214</v>
      </c>
      <c r="C78" s="142" t="str">
        <f t="shared" si="14"/>
        <v>Weight</v>
      </c>
      <c r="D78" s="158"/>
      <c r="E78" s="159"/>
      <c r="F78" s="159"/>
      <c r="G78" s="159"/>
      <c r="H78" s="159"/>
      <c r="I78" s="159"/>
      <c r="J78" s="160"/>
      <c r="K78" s="100" t="str">
        <f t="shared" si="6"/>
        <v/>
      </c>
      <c r="L78" s="101" t="str">
        <f>IF(K78="","",AN78)</f>
        <v/>
      </c>
      <c r="M78" s="102" t="str">
        <f>IF(AM78="", "", MROUND(BB78, 10))</f>
        <v/>
      </c>
      <c r="N78" s="149"/>
      <c r="O78" s="103" t="str">
        <f>IF(M82="","","From")</f>
        <v/>
      </c>
      <c r="P78" s="104"/>
      <c r="Q78" s="105" t="str">
        <f>IF(M82="","",B76)</f>
        <v/>
      </c>
      <c r="R78" s="104"/>
      <c r="S78" s="104"/>
      <c r="T78" s="106" t="str">
        <f>IF(M82="","","to")</f>
        <v/>
      </c>
      <c r="U78" s="107" t="str">
        <f>IF(M82="","",B82)</f>
        <v/>
      </c>
      <c r="V78" s="104"/>
      <c r="W78" s="104"/>
      <c r="X78" s="108"/>
      <c r="Y78" s="109"/>
      <c r="Z78" s="80"/>
      <c r="AA78" s="81">
        <f>AA76+1</f>
        <v>34</v>
      </c>
      <c r="AB78" s="8">
        <f t="shared" si="7"/>
        <v>0</v>
      </c>
      <c r="AC78" s="7">
        <f>IF(K78="",AC76,K78)</f>
        <v>76.95714286</v>
      </c>
      <c r="AD78" s="8">
        <f>AD77</f>
        <v>77</v>
      </c>
      <c r="AE78" s="8">
        <f>IF($F$6&gt;$F$7,IF(AE76&gt;AD78,AE76+$AE$9,AD78),IF($F$6&lt;$F$7,IF(AE76&lt;AD78,AE76+$AE$9,AD78),AD78))</f>
        <v>77</v>
      </c>
      <c r="AF78" s="7" t="str">
        <f t="shared" si="16"/>
        <v/>
      </c>
      <c r="AG78" s="7" t="str">
        <f t="shared" ref="AG78:AL78" si="111">IF(E78="",AF78,E78)</f>
        <v/>
      </c>
      <c r="AH78" s="7" t="str">
        <f t="shared" si="111"/>
        <v/>
      </c>
      <c r="AI78" s="7" t="str">
        <f t="shared" si="111"/>
        <v/>
      </c>
      <c r="AJ78" s="7" t="str">
        <f t="shared" si="111"/>
        <v/>
      </c>
      <c r="AK78" s="7" t="str">
        <f t="shared" si="111"/>
        <v/>
      </c>
      <c r="AL78" s="7" t="str">
        <f t="shared" si="111"/>
        <v/>
      </c>
      <c r="AM78" s="82" t="str">
        <f t="shared" si="10"/>
        <v/>
      </c>
      <c r="AN78" s="83" t="str">
        <f>IF(AM78="","",AM78-AM76)</f>
        <v/>
      </c>
      <c r="AO78" s="84" t="str">
        <f>IF(AP78="","",IF(AN78="","",MROUND(AP78,5)))</f>
        <v/>
      </c>
      <c r="AP78" s="85">
        <f>IF(AB79=0,$AP76,IF(AB78=0,$AP76,((K79+(((-L78)*$AQ$7)/AB79)))+M76+M74+M72+M70+M68)/6)</f>
        <v>3004.379929</v>
      </c>
      <c r="AQ78" s="8"/>
      <c r="AR78" s="8"/>
      <c r="AS78" s="8"/>
      <c r="AT78" s="8"/>
      <c r="AU78" s="8"/>
      <c r="AV78" s="8"/>
      <c r="AW78" s="8"/>
      <c r="AX78" s="8"/>
      <c r="BA78" s="88">
        <f>IF(AM78="", BA76, (AM78*0.3) + (BA76*0.7))</f>
        <v>78.72274376</v>
      </c>
      <c r="BB78" s="88">
        <f>IF(AP78="", BB76, (AP78*0.3) + (BB76*0.7))</f>
        <v>3004.366953</v>
      </c>
      <c r="BC78" s="88">
        <f>IF(BB78="","", BB78*0.8)</f>
        <v>2403.493563</v>
      </c>
    </row>
    <row r="79" ht="15.75" customHeight="1">
      <c r="A79" s="16"/>
      <c r="B79" s="110"/>
      <c r="C79" s="146" t="str">
        <f t="shared" si="14"/>
        <v>Cal.</v>
      </c>
      <c r="D79" s="158"/>
      <c r="E79" s="159"/>
      <c r="F79" s="159"/>
      <c r="G79" s="159"/>
      <c r="H79" s="159"/>
      <c r="I79" s="159"/>
      <c r="J79" s="160"/>
      <c r="K79" s="94" t="str">
        <f t="shared" si="6"/>
        <v/>
      </c>
      <c r="L79" s="95"/>
      <c r="M79" s="96"/>
      <c r="N79" s="149"/>
      <c r="O79" s="112"/>
      <c r="Q79" s="36"/>
      <c r="T79" s="37"/>
      <c r="U79" s="36"/>
      <c r="X79" s="113"/>
      <c r="Y79" s="109"/>
      <c r="Z79" s="80"/>
      <c r="AA79" s="81">
        <f>AA78+0.5</f>
        <v>34.5</v>
      </c>
      <c r="AB79" s="8">
        <f t="shared" si="7"/>
        <v>0</v>
      </c>
      <c r="AC79" s="7">
        <f t="shared" ref="AC79:AD79" si="112">AC78</f>
        <v>76.95714286</v>
      </c>
      <c r="AD79" s="8">
        <f t="shared" si="112"/>
        <v>77</v>
      </c>
      <c r="AE79" s="8">
        <f>IF($AE$9=0,0,(AE78+AE80)/2)</f>
        <v>77</v>
      </c>
      <c r="AF79" s="7" t="str">
        <f t="shared" si="16"/>
        <v/>
      </c>
      <c r="AG79" s="7" t="str">
        <f t="shared" ref="AG79:AL79" si="113">IF(E79="",AF79,E79)</f>
        <v/>
      </c>
      <c r="AH79" s="7" t="str">
        <f t="shared" si="113"/>
        <v/>
      </c>
      <c r="AI79" s="7" t="str">
        <f t="shared" si="113"/>
        <v/>
      </c>
      <c r="AJ79" s="7" t="str">
        <f t="shared" si="113"/>
        <v/>
      </c>
      <c r="AK79" s="7" t="str">
        <f t="shared" si="113"/>
        <v/>
      </c>
      <c r="AL79" s="7" t="str">
        <f t="shared" si="113"/>
        <v/>
      </c>
      <c r="AM79" s="97" t="str">
        <f t="shared" si="10"/>
        <v/>
      </c>
      <c r="AN79" s="37"/>
      <c r="AO79" s="37"/>
      <c r="AP79" s="8"/>
      <c r="AQ79" s="8"/>
      <c r="AR79" s="8"/>
      <c r="AS79" s="8"/>
      <c r="AT79" s="8"/>
      <c r="AU79" s="8"/>
      <c r="AV79" s="8"/>
      <c r="AW79" s="8"/>
      <c r="AX79" s="8"/>
    </row>
    <row r="80" ht="15.75" customHeight="1">
      <c r="A80" s="16"/>
      <c r="B80" s="98">
        <f>IF(B78="","",B78+7)</f>
        <v>46221</v>
      </c>
      <c r="C80" s="142" t="str">
        <f t="shared" si="14"/>
        <v>Weight</v>
      </c>
      <c r="D80" s="158"/>
      <c r="E80" s="159"/>
      <c r="F80" s="159"/>
      <c r="G80" s="159"/>
      <c r="H80" s="159"/>
      <c r="I80" s="159"/>
      <c r="J80" s="160"/>
      <c r="K80" s="100" t="str">
        <f t="shared" si="6"/>
        <v/>
      </c>
      <c r="L80" s="101" t="str">
        <f>IF(K80="","",AN80)</f>
        <v/>
      </c>
      <c r="M80" s="102" t="str">
        <f>IF(AM80="", "", MROUND(BB80, 10))</f>
        <v/>
      </c>
      <c r="N80" s="149"/>
      <c r="O80" s="114" t="str">
        <f>IF(M82="","",IF(K82=K74,"No Weight Change",IF(K82&gt;K74,"You Gained:","You Lost:")))</f>
        <v/>
      </c>
      <c r="P80" s="14"/>
      <c r="Q80" s="14"/>
      <c r="R80" s="14"/>
      <c r="S80" s="14"/>
      <c r="T80" s="14"/>
      <c r="U80" s="115" t="str">
        <f>IF(M82="","",IF(K82=K74,"",IF(K82&gt;K74,K82-K74,K74-K82)))</f>
        <v/>
      </c>
      <c r="V80" s="116" t="str">
        <f>IF(O80="","",IF(O80="No Weight Change","",IF($F$4="Lb","Lb",IF($F$4="Kg","Kg",""))))</f>
        <v/>
      </c>
      <c r="W80" s="14"/>
      <c r="X80" s="117"/>
      <c r="Y80" s="109"/>
      <c r="Z80" s="80"/>
      <c r="AA80" s="81">
        <f>AA78+1</f>
        <v>35</v>
      </c>
      <c r="AB80" s="8">
        <f t="shared" si="7"/>
        <v>0</v>
      </c>
      <c r="AC80" s="7">
        <f>IF(K80="",AC78,K80)</f>
        <v>76.95714286</v>
      </c>
      <c r="AD80" s="8">
        <f>AD79</f>
        <v>77</v>
      </c>
      <c r="AE80" s="8">
        <f>IF($F$6&gt;$F$7,IF(AE78&gt;AD80,AE78+$AE$9,AD80),IF($F$6&lt;$F$7,IF(AE78&lt;AD80,AE78+$AE$9,AD80),AD80))</f>
        <v>77</v>
      </c>
      <c r="AF80" s="7" t="str">
        <f t="shared" si="16"/>
        <v/>
      </c>
      <c r="AG80" s="7" t="str">
        <f t="shared" ref="AG80:AL80" si="114">IF(E80="",AF80,E80)</f>
        <v/>
      </c>
      <c r="AH80" s="7" t="str">
        <f t="shared" si="114"/>
        <v/>
      </c>
      <c r="AI80" s="7" t="str">
        <f t="shared" si="114"/>
        <v/>
      </c>
      <c r="AJ80" s="7" t="str">
        <f t="shared" si="114"/>
        <v/>
      </c>
      <c r="AK80" s="7" t="str">
        <f t="shared" si="114"/>
        <v/>
      </c>
      <c r="AL80" s="7" t="str">
        <f t="shared" si="114"/>
        <v/>
      </c>
      <c r="AM80" s="82" t="str">
        <f t="shared" si="10"/>
        <v/>
      </c>
      <c r="AN80" s="83" t="str">
        <f>IF(AM80="","",AM80-AM78)</f>
        <v/>
      </c>
      <c r="AO80" s="84" t="str">
        <f>IF(AP80="","",IF(AN80="","",MROUND(AP80,5)))</f>
        <v/>
      </c>
      <c r="AP80" s="85">
        <f>IF(AB81=0,$AP78,IF(AB80=0,$AP78,((K81+(((-L80)*$AQ$7)/AB81)))+M78+M76+M74+M72+M70)/6)</f>
        <v>3004.379929</v>
      </c>
      <c r="AQ80" s="8"/>
      <c r="AR80" s="8"/>
      <c r="AS80" s="8"/>
      <c r="AT80" s="8"/>
      <c r="AU80" s="8"/>
      <c r="AV80" s="8"/>
      <c r="AW80" s="8"/>
      <c r="AX80" s="8"/>
      <c r="BA80" s="88">
        <f>IF(AM80="", BA78, (AM80*0.3) + (BA78*0.7))</f>
        <v>78.72274376</v>
      </c>
      <c r="BB80" s="88">
        <f>IF(AP80="", BB78, (AP80*0.3) + (BB78*0.7))</f>
        <v>3004.370846</v>
      </c>
      <c r="BC80" s="88">
        <f>IF(BB80="","", BB80*0.8)</f>
        <v>2403.496677</v>
      </c>
    </row>
    <row r="81" ht="15.75" customHeight="1">
      <c r="A81" s="16"/>
      <c r="B81" s="110"/>
      <c r="C81" s="146" t="str">
        <f t="shared" si="14"/>
        <v>Cal.</v>
      </c>
      <c r="D81" s="158"/>
      <c r="E81" s="159"/>
      <c r="F81" s="159"/>
      <c r="G81" s="159"/>
      <c r="H81" s="159"/>
      <c r="I81" s="159"/>
      <c r="J81" s="160"/>
      <c r="K81" s="94" t="str">
        <f t="shared" si="6"/>
        <v/>
      </c>
      <c r="L81" s="95"/>
      <c r="M81" s="96"/>
      <c r="N81" s="149"/>
      <c r="O81" s="118" t="str">
        <f>IF(M82="","",IF(K82=K74,"","At a Rate Of"))</f>
        <v/>
      </c>
      <c r="P81" s="14"/>
      <c r="Q81" s="14"/>
      <c r="R81" s="14"/>
      <c r="S81" s="14"/>
      <c r="T81" s="119" t="str">
        <f>IF(O81="","",U80/4)</f>
        <v/>
      </c>
      <c r="U81" s="14"/>
      <c r="V81" s="120" t="str">
        <f>IF(O80="","",IF(O80="No Weight Change","",IF($F$4="Lb","Lb/Wk",IF($F$4="Kg","Kg/Wk",""))))</f>
        <v/>
      </c>
      <c r="W81" s="14"/>
      <c r="X81" s="117"/>
      <c r="Y81" s="109"/>
      <c r="Z81" s="80"/>
      <c r="AA81" s="81">
        <f>AA80+0.5</f>
        <v>35.5</v>
      </c>
      <c r="AB81" s="8">
        <f t="shared" si="7"/>
        <v>0</v>
      </c>
      <c r="AC81" s="7">
        <f t="shared" ref="AC81:AD81" si="115">AC80</f>
        <v>76.95714286</v>
      </c>
      <c r="AD81" s="8">
        <f t="shared" si="115"/>
        <v>77</v>
      </c>
      <c r="AE81" s="8">
        <f>IF($AE$9=0,0,(AE80+AE82)/2)</f>
        <v>77</v>
      </c>
      <c r="AF81" s="7" t="str">
        <f t="shared" si="16"/>
        <v/>
      </c>
      <c r="AG81" s="7" t="str">
        <f t="shared" ref="AG81:AL81" si="116">IF(E81="",AF81,E81)</f>
        <v/>
      </c>
      <c r="AH81" s="7" t="str">
        <f t="shared" si="116"/>
        <v/>
      </c>
      <c r="AI81" s="7" t="str">
        <f t="shared" si="116"/>
        <v/>
      </c>
      <c r="AJ81" s="7" t="str">
        <f t="shared" si="116"/>
        <v/>
      </c>
      <c r="AK81" s="7" t="str">
        <f t="shared" si="116"/>
        <v/>
      </c>
      <c r="AL81" s="7" t="str">
        <f t="shared" si="116"/>
        <v/>
      </c>
      <c r="AM81" s="97" t="str">
        <f t="shared" si="10"/>
        <v/>
      </c>
      <c r="AN81" s="37"/>
      <c r="AO81" s="37"/>
      <c r="AP81" s="8"/>
      <c r="AQ81" s="8"/>
      <c r="AR81" s="8"/>
      <c r="AS81" s="8"/>
      <c r="AT81" s="8"/>
      <c r="AU81" s="8"/>
      <c r="AV81" s="8"/>
      <c r="AW81" s="8"/>
      <c r="AX81" s="8"/>
    </row>
    <row r="82" ht="15.75" customHeight="1">
      <c r="A82" s="16"/>
      <c r="B82" s="98">
        <f>IF(B80="","",B80+7)</f>
        <v>46228</v>
      </c>
      <c r="C82" s="142" t="str">
        <f t="shared" si="14"/>
        <v>Weight</v>
      </c>
      <c r="D82" s="158"/>
      <c r="E82" s="159"/>
      <c r="F82" s="159"/>
      <c r="G82" s="159"/>
      <c r="H82" s="159"/>
      <c r="I82" s="159"/>
      <c r="J82" s="160"/>
      <c r="K82" s="100" t="str">
        <f t="shared" si="6"/>
        <v/>
      </c>
      <c r="L82" s="101" t="str">
        <f>IF(K82="","",AN82)</f>
        <v/>
      </c>
      <c r="M82" s="102" t="str">
        <f>IF(AM82="", "", MROUND(BB82, 10))</f>
        <v/>
      </c>
      <c r="N82" s="149"/>
      <c r="O82" s="121" t="str">
        <f>IF(T81="","","You have")</f>
        <v/>
      </c>
      <c r="P82" s="26"/>
      <c r="Q82" s="26"/>
      <c r="R82" s="26"/>
      <c r="S82" s="122" t="str">
        <f>IF(T81="","",IF(K82&gt;F71,K82-F71,F71-K82))</f>
        <v/>
      </c>
      <c r="T82" s="123" t="str">
        <f>IF(T81="","",IF(T81="No Weight Change","",IF(F68="Lb","Lb to go!",IF(F68="Kg","Kg to go!",""))))</f>
        <v/>
      </c>
      <c r="U82" s="26"/>
      <c r="V82" s="26"/>
      <c r="W82" s="26"/>
      <c r="X82" s="124"/>
      <c r="Y82" s="109"/>
      <c r="Z82" s="80"/>
      <c r="AA82" s="81">
        <f>AA80+1</f>
        <v>36</v>
      </c>
      <c r="AB82" s="8">
        <f t="shared" si="7"/>
        <v>0</v>
      </c>
      <c r="AC82" s="7">
        <f>IF(K82="",AC80,K82)</f>
        <v>76.95714286</v>
      </c>
      <c r="AD82" s="8">
        <f>AD81</f>
        <v>77</v>
      </c>
      <c r="AE82" s="8">
        <f>IF($F$6&gt;$F$7,IF(AE80&gt;AD82,AE80+$AE$9,AD82),IF($F$6&lt;$F$7,IF(AE80&lt;AD82,AE80+$AE$9,AD82),AD82))</f>
        <v>77</v>
      </c>
      <c r="AF82" s="7" t="str">
        <f t="shared" si="16"/>
        <v/>
      </c>
      <c r="AG82" s="7" t="str">
        <f t="shared" ref="AG82:AL82" si="117">IF(E82="",AF82,E82)</f>
        <v/>
      </c>
      <c r="AH82" s="7" t="str">
        <f t="shared" si="117"/>
        <v/>
      </c>
      <c r="AI82" s="7" t="str">
        <f t="shared" si="117"/>
        <v/>
      </c>
      <c r="AJ82" s="7" t="str">
        <f t="shared" si="117"/>
        <v/>
      </c>
      <c r="AK82" s="7" t="str">
        <f t="shared" si="117"/>
        <v/>
      </c>
      <c r="AL82" s="7" t="str">
        <f t="shared" si="117"/>
        <v/>
      </c>
      <c r="AM82" s="82" t="str">
        <f t="shared" si="10"/>
        <v/>
      </c>
      <c r="AN82" s="83" t="str">
        <f>IF(AM82="","",AM82-AM80)</f>
        <v/>
      </c>
      <c r="AO82" s="84" t="str">
        <f>IF(AP82="","",IF(AN82="","",MROUND(AP82,5)))</f>
        <v/>
      </c>
      <c r="AP82" s="85">
        <f>IF(AB83=0,$AP80,IF(AB82=0,$AP80,((K83+(((-L82)*$AQ$7)/AB83)))+M80+M78+M76+M74+M72)/6)</f>
        <v>3004.379929</v>
      </c>
      <c r="AQ82" s="8"/>
      <c r="AR82" s="8"/>
      <c r="AS82" s="8"/>
      <c r="AT82" s="8"/>
      <c r="AU82" s="8"/>
      <c r="AV82" s="8"/>
      <c r="AW82" s="8"/>
      <c r="AX82" s="8"/>
      <c r="BA82" s="88">
        <f>IF(AM82="", BA80, (AM82*0.3) + (BA80*0.7))</f>
        <v>78.72274376</v>
      </c>
      <c r="BB82" s="88">
        <f>IF(AP82="", BB80, (AP82*0.3) + (BB80*0.7))</f>
        <v>3004.373571</v>
      </c>
      <c r="BC82" s="88">
        <f>IF(BB82="","", BB82*0.8)</f>
        <v>2403.498857</v>
      </c>
    </row>
    <row r="83" ht="15.75" customHeight="1">
      <c r="A83" s="16"/>
      <c r="B83" s="150"/>
      <c r="C83" s="151" t="str">
        <f t="shared" si="14"/>
        <v>Cal.</v>
      </c>
      <c r="D83" s="162"/>
      <c r="E83" s="163"/>
      <c r="F83" s="163"/>
      <c r="G83" s="163"/>
      <c r="H83" s="163"/>
      <c r="I83" s="163"/>
      <c r="J83" s="164"/>
      <c r="K83" s="125" t="str">
        <f t="shared" si="6"/>
        <v/>
      </c>
      <c r="L83" s="126"/>
      <c r="M83" s="127"/>
      <c r="N83" s="149"/>
      <c r="O83" s="128"/>
      <c r="P83" s="129"/>
      <c r="Q83" s="129"/>
      <c r="R83" s="129"/>
      <c r="S83" s="126"/>
      <c r="T83" s="130"/>
      <c r="U83" s="129"/>
      <c r="V83" s="129"/>
      <c r="W83" s="129"/>
      <c r="X83" s="131"/>
      <c r="Y83" s="109"/>
      <c r="Z83" s="80"/>
      <c r="AA83" s="81">
        <f>AA82+0.5</f>
        <v>36.5</v>
      </c>
      <c r="AB83" s="8">
        <f t="shared" si="7"/>
        <v>0</v>
      </c>
      <c r="AC83" s="7">
        <f t="shared" ref="AC83:AD83" si="118">AC82</f>
        <v>76.95714286</v>
      </c>
      <c r="AD83" s="8">
        <f t="shared" si="118"/>
        <v>77</v>
      </c>
      <c r="AE83" s="8">
        <f>IF($AE$9=0,0,(AE82+AE84)/2)</f>
        <v>77</v>
      </c>
      <c r="AF83" s="7" t="str">
        <f t="shared" si="16"/>
        <v/>
      </c>
      <c r="AG83" s="7" t="str">
        <f t="shared" ref="AG83:AL83" si="119">IF(E83="",AF83,E83)</f>
        <v/>
      </c>
      <c r="AH83" s="7" t="str">
        <f t="shared" si="119"/>
        <v/>
      </c>
      <c r="AI83" s="7" t="str">
        <f t="shared" si="119"/>
        <v/>
      </c>
      <c r="AJ83" s="7" t="str">
        <f t="shared" si="119"/>
        <v/>
      </c>
      <c r="AK83" s="7" t="str">
        <f t="shared" si="119"/>
        <v/>
      </c>
      <c r="AL83" s="7" t="str">
        <f t="shared" si="119"/>
        <v/>
      </c>
      <c r="AM83" s="97" t="str">
        <f t="shared" si="10"/>
        <v/>
      </c>
      <c r="AN83" s="37"/>
      <c r="AO83" s="37"/>
      <c r="AP83" s="8"/>
      <c r="AQ83" s="8"/>
      <c r="AR83" s="8"/>
      <c r="AS83" s="8"/>
      <c r="AT83" s="8"/>
      <c r="AU83" s="8"/>
      <c r="AV83" s="8"/>
      <c r="AW83" s="8"/>
      <c r="AX83" s="8"/>
    </row>
    <row r="84" ht="15.75" customHeight="1">
      <c r="A84" s="16"/>
      <c r="B84" s="72">
        <f>IF(B82="","",B82+7)</f>
        <v>46235</v>
      </c>
      <c r="C84" s="70" t="str">
        <f t="shared" si="14"/>
        <v>Weight</v>
      </c>
      <c r="D84" s="155"/>
      <c r="E84" s="156"/>
      <c r="F84" s="156"/>
      <c r="G84" s="156"/>
      <c r="H84" s="156"/>
      <c r="I84" s="156"/>
      <c r="J84" s="157"/>
      <c r="K84" s="76" t="str">
        <f t="shared" si="6"/>
        <v/>
      </c>
      <c r="L84" s="77" t="str">
        <f>IF(K84="","",AN84)</f>
        <v/>
      </c>
      <c r="M84" s="78" t="str">
        <f>IF(AM84="", "", MROUND(BB84, 10))</f>
        <v/>
      </c>
      <c r="N84" s="149"/>
      <c r="O84" s="79"/>
      <c r="P84" s="79"/>
      <c r="Q84" s="79"/>
      <c r="R84" s="79"/>
      <c r="S84" s="50"/>
      <c r="T84" s="79"/>
      <c r="U84" s="50"/>
      <c r="V84" s="79"/>
      <c r="W84" s="79"/>
      <c r="X84" s="79"/>
      <c r="Y84" s="80"/>
      <c r="Z84" s="80"/>
      <c r="AA84" s="81">
        <f>AA82+1</f>
        <v>37</v>
      </c>
      <c r="AB84" s="8">
        <f t="shared" si="7"/>
        <v>0</v>
      </c>
      <c r="AC84" s="7">
        <f>IF(K84="",AC82,K84)</f>
        <v>76.95714286</v>
      </c>
      <c r="AD84" s="8">
        <f>AD83</f>
        <v>77</v>
      </c>
      <c r="AE84" s="8">
        <f>IF($F$6&gt;$F$7,IF(AE82&gt;AD84,AE82+$AE$9,AD84),IF($F$6&lt;$F$7,IF(AE82&lt;AD84,AE82+$AE$9,AD84),AD84))</f>
        <v>77</v>
      </c>
      <c r="AF84" s="7" t="str">
        <f t="shared" si="16"/>
        <v/>
      </c>
      <c r="AG84" s="7" t="str">
        <f t="shared" ref="AG84:AL84" si="120">IF(E84="",AF84,E84)</f>
        <v/>
      </c>
      <c r="AH84" s="7" t="str">
        <f t="shared" si="120"/>
        <v/>
      </c>
      <c r="AI84" s="7" t="str">
        <f t="shared" si="120"/>
        <v/>
      </c>
      <c r="AJ84" s="7" t="str">
        <f t="shared" si="120"/>
        <v/>
      </c>
      <c r="AK84" s="7" t="str">
        <f t="shared" si="120"/>
        <v/>
      </c>
      <c r="AL84" s="7" t="str">
        <f t="shared" si="120"/>
        <v/>
      </c>
      <c r="AM84" s="82" t="str">
        <f t="shared" si="10"/>
        <v/>
      </c>
      <c r="AN84" s="83" t="str">
        <f>IF(AM84="","",AM84-AM82)</f>
        <v/>
      </c>
      <c r="AO84" s="84" t="str">
        <f>IF(AP84="","",IF(AN84="","",MROUND(AP84,5)))</f>
        <v/>
      </c>
      <c r="AP84" s="85">
        <f>IF(AB85=0,$AP82,IF(AB84=0,$AP82,((K85+(((-L84)*$AQ$7)/AB85)))+M82+M80+M78+M76+M74)/6)</f>
        <v>3004.379929</v>
      </c>
      <c r="AQ84" s="8"/>
      <c r="AR84" s="8"/>
      <c r="AS84" s="8"/>
      <c r="AT84" s="8"/>
      <c r="AU84" s="8"/>
      <c r="AV84" s="8"/>
      <c r="AW84" s="8"/>
      <c r="AX84" s="8"/>
      <c r="BA84" s="88">
        <f>IF(AM84="", BA82, (AM84*0.3) + (BA82*0.7))</f>
        <v>78.72274376</v>
      </c>
      <c r="BB84" s="88">
        <f>IF(AP84="", BB82, (AP84*0.3) + (BB82*0.7))</f>
        <v>3004.375478</v>
      </c>
      <c r="BC84" s="88">
        <f>IF(BB84="","", BB84*0.8)</f>
        <v>2403.500382</v>
      </c>
    </row>
    <row r="85" ht="15.75" customHeight="1">
      <c r="A85" s="16"/>
      <c r="B85" s="110"/>
      <c r="C85" s="137" t="str">
        <f t="shared" si="14"/>
        <v>Cal.</v>
      </c>
      <c r="D85" s="158"/>
      <c r="E85" s="159"/>
      <c r="F85" s="159"/>
      <c r="G85" s="159"/>
      <c r="H85" s="159"/>
      <c r="I85" s="159"/>
      <c r="J85" s="160"/>
      <c r="K85" s="94" t="str">
        <f t="shared" si="6"/>
        <v/>
      </c>
      <c r="L85" s="95"/>
      <c r="M85" s="96"/>
      <c r="N85" s="149"/>
      <c r="O85" s="79"/>
      <c r="P85" s="79"/>
      <c r="Q85" s="79"/>
      <c r="R85" s="79"/>
      <c r="S85" s="50"/>
      <c r="T85" s="79"/>
      <c r="U85" s="50"/>
      <c r="V85" s="79"/>
      <c r="W85" s="79"/>
      <c r="X85" s="79"/>
      <c r="Y85" s="80"/>
      <c r="Z85" s="80"/>
      <c r="AA85" s="81">
        <f>AA84+0.5</f>
        <v>37.5</v>
      </c>
      <c r="AB85" s="8">
        <f t="shared" si="7"/>
        <v>0</v>
      </c>
      <c r="AC85" s="7">
        <f t="shared" ref="AC85:AD85" si="121">AC84</f>
        <v>76.95714286</v>
      </c>
      <c r="AD85" s="8">
        <f t="shared" si="121"/>
        <v>77</v>
      </c>
      <c r="AE85" s="8">
        <f>IF($AE$9=0,0,(AE84+AE86)/2)</f>
        <v>77</v>
      </c>
      <c r="AF85" s="7" t="str">
        <f t="shared" si="16"/>
        <v/>
      </c>
      <c r="AG85" s="7" t="str">
        <f t="shared" ref="AG85:AL85" si="122">IF(E85="",AF85,E85)</f>
        <v/>
      </c>
      <c r="AH85" s="7" t="str">
        <f t="shared" si="122"/>
        <v/>
      </c>
      <c r="AI85" s="7" t="str">
        <f t="shared" si="122"/>
        <v/>
      </c>
      <c r="AJ85" s="7" t="str">
        <f t="shared" si="122"/>
        <v/>
      </c>
      <c r="AK85" s="7" t="str">
        <f t="shared" si="122"/>
        <v/>
      </c>
      <c r="AL85" s="7" t="str">
        <f t="shared" si="122"/>
        <v/>
      </c>
      <c r="AM85" s="97" t="str">
        <f t="shared" si="10"/>
        <v/>
      </c>
      <c r="AN85" s="37"/>
      <c r="AO85" s="37"/>
      <c r="AP85" s="8"/>
      <c r="AQ85" s="8"/>
      <c r="AR85" s="8"/>
      <c r="AS85" s="8"/>
      <c r="AT85" s="8"/>
      <c r="AU85" s="8"/>
      <c r="AV85" s="8"/>
      <c r="AW85" s="8"/>
      <c r="AX85" s="8"/>
    </row>
    <row r="86" ht="15.75" customHeight="1">
      <c r="A86" s="16"/>
      <c r="B86" s="98">
        <f>IF(B84="","",B84+7)</f>
        <v>46242</v>
      </c>
      <c r="C86" s="142" t="str">
        <f t="shared" si="14"/>
        <v>Weight</v>
      </c>
      <c r="D86" s="158"/>
      <c r="E86" s="159"/>
      <c r="F86" s="159"/>
      <c r="G86" s="159"/>
      <c r="H86" s="159"/>
      <c r="I86" s="159"/>
      <c r="J86" s="160"/>
      <c r="K86" s="100" t="str">
        <f t="shared" si="6"/>
        <v/>
      </c>
      <c r="L86" s="101" t="str">
        <f>IF(K86="","",AN86)</f>
        <v/>
      </c>
      <c r="M86" s="102" t="str">
        <f>IF(AM86="", "", MROUND(BB86, 10))</f>
        <v/>
      </c>
      <c r="N86" s="149"/>
      <c r="O86" s="103" t="str">
        <f>IF(M90="","","From")</f>
        <v/>
      </c>
      <c r="P86" s="104"/>
      <c r="Q86" s="105" t="str">
        <f>IF(M90="","",B84)</f>
        <v/>
      </c>
      <c r="R86" s="104"/>
      <c r="S86" s="104"/>
      <c r="T86" s="106" t="str">
        <f>IF(M90="","","to")</f>
        <v/>
      </c>
      <c r="U86" s="107" t="str">
        <f>IF(M90="","",B90)</f>
        <v/>
      </c>
      <c r="V86" s="104"/>
      <c r="W86" s="104"/>
      <c r="X86" s="108"/>
      <c r="Y86" s="109"/>
      <c r="Z86" s="80"/>
      <c r="AA86" s="81">
        <f>AA84+1</f>
        <v>38</v>
      </c>
      <c r="AB86" s="8">
        <f t="shared" si="7"/>
        <v>0</v>
      </c>
      <c r="AC86" s="7">
        <f>IF(K86="",AC84,K86)</f>
        <v>76.95714286</v>
      </c>
      <c r="AD86" s="8">
        <f>AD85</f>
        <v>77</v>
      </c>
      <c r="AE86" s="8">
        <f>IF($F$6&gt;$F$7,IF(AE84&gt;AD86,AE84+$AE$9,AD86),IF($F$6&lt;$F$7,IF(AE84&lt;AD86,AE84+$AE$9,AD86),AD86))</f>
        <v>77</v>
      </c>
      <c r="AF86" s="7" t="str">
        <f t="shared" si="16"/>
        <v/>
      </c>
      <c r="AG86" s="7" t="str">
        <f t="shared" ref="AG86:AL86" si="123">IF(E86="",AF86,E86)</f>
        <v/>
      </c>
      <c r="AH86" s="7" t="str">
        <f t="shared" si="123"/>
        <v/>
      </c>
      <c r="AI86" s="7" t="str">
        <f t="shared" si="123"/>
        <v/>
      </c>
      <c r="AJ86" s="7" t="str">
        <f t="shared" si="123"/>
        <v/>
      </c>
      <c r="AK86" s="7" t="str">
        <f t="shared" si="123"/>
        <v/>
      </c>
      <c r="AL86" s="7" t="str">
        <f t="shared" si="123"/>
        <v/>
      </c>
      <c r="AM86" s="82" t="str">
        <f t="shared" si="10"/>
        <v/>
      </c>
      <c r="AN86" s="83" t="str">
        <f>IF(AM86="","",AM86-AM84)</f>
        <v/>
      </c>
      <c r="AO86" s="84" t="str">
        <f>IF(AP86="","",IF(AN86="","",MROUND(AP86,5)))</f>
        <v/>
      </c>
      <c r="AP86" s="85">
        <f>IF(AB87=0,$AP84,IF(AB86=0,$AP84,((K87+(((-L86)*$AQ$7)/AB87)))+M84+M82+M80+M78+M76)/6)</f>
        <v>3004.379929</v>
      </c>
      <c r="AQ86" s="8"/>
      <c r="AR86" s="8"/>
      <c r="AS86" s="8"/>
      <c r="AT86" s="8"/>
      <c r="AU86" s="8"/>
      <c r="AV86" s="8"/>
      <c r="AW86" s="8"/>
      <c r="AX86" s="8"/>
      <c r="BA86" s="88">
        <f>IF(AM86="", BA84, (AM86*0.3) + (BA84*0.7))</f>
        <v>78.72274376</v>
      </c>
      <c r="BB86" s="88">
        <f>IF(AP86="", BB84, (AP86*0.3) + (BB84*0.7))</f>
        <v>3004.376813</v>
      </c>
      <c r="BC86" s="88">
        <f>IF(BB86="","", BB86*0.8)</f>
        <v>2403.501451</v>
      </c>
    </row>
    <row r="87" ht="15.75" customHeight="1">
      <c r="A87" s="16"/>
      <c r="B87" s="110"/>
      <c r="C87" s="146" t="str">
        <f t="shared" si="14"/>
        <v>Cal.</v>
      </c>
      <c r="D87" s="158"/>
      <c r="E87" s="159"/>
      <c r="F87" s="159"/>
      <c r="G87" s="159"/>
      <c r="H87" s="159"/>
      <c r="I87" s="159"/>
      <c r="J87" s="160"/>
      <c r="K87" s="94" t="str">
        <f t="shared" si="6"/>
        <v/>
      </c>
      <c r="L87" s="95"/>
      <c r="M87" s="96"/>
      <c r="N87" s="149"/>
      <c r="O87" s="112"/>
      <c r="Q87" s="36"/>
      <c r="T87" s="37"/>
      <c r="U87" s="36"/>
      <c r="X87" s="113"/>
      <c r="Y87" s="109"/>
      <c r="Z87" s="80"/>
      <c r="AA87" s="81">
        <f>AA86+0.5</f>
        <v>38.5</v>
      </c>
      <c r="AB87" s="8">
        <f t="shared" si="7"/>
        <v>0</v>
      </c>
      <c r="AC87" s="7">
        <f t="shared" ref="AC87:AD87" si="124">AC86</f>
        <v>76.95714286</v>
      </c>
      <c r="AD87" s="8">
        <f t="shared" si="124"/>
        <v>77</v>
      </c>
      <c r="AE87" s="8">
        <f>IF($AE$9=0,0,(AE86+AE88)/2)</f>
        <v>77</v>
      </c>
      <c r="AF87" s="7" t="str">
        <f t="shared" si="16"/>
        <v/>
      </c>
      <c r="AG87" s="7" t="str">
        <f t="shared" ref="AG87:AL87" si="125">IF(E87="",AF87,E87)</f>
        <v/>
      </c>
      <c r="AH87" s="7" t="str">
        <f t="shared" si="125"/>
        <v/>
      </c>
      <c r="AI87" s="7" t="str">
        <f t="shared" si="125"/>
        <v/>
      </c>
      <c r="AJ87" s="7" t="str">
        <f t="shared" si="125"/>
        <v/>
      </c>
      <c r="AK87" s="7" t="str">
        <f t="shared" si="125"/>
        <v/>
      </c>
      <c r="AL87" s="7" t="str">
        <f t="shared" si="125"/>
        <v/>
      </c>
      <c r="AM87" s="97" t="str">
        <f t="shared" si="10"/>
        <v/>
      </c>
      <c r="AN87" s="37"/>
      <c r="AO87" s="37"/>
      <c r="AP87" s="8"/>
      <c r="AQ87" s="8"/>
      <c r="AR87" s="8"/>
      <c r="AS87" s="8"/>
      <c r="AT87" s="8"/>
      <c r="AU87" s="8"/>
      <c r="AV87" s="8"/>
      <c r="AW87" s="8"/>
      <c r="AX87" s="8"/>
    </row>
    <row r="88" ht="15.75" customHeight="1">
      <c r="A88" s="16"/>
      <c r="B88" s="98">
        <f>IF(B86="","",B86+7)</f>
        <v>46249</v>
      </c>
      <c r="C88" s="142" t="str">
        <f t="shared" si="14"/>
        <v>Weight</v>
      </c>
      <c r="D88" s="158"/>
      <c r="E88" s="159"/>
      <c r="F88" s="159"/>
      <c r="G88" s="159"/>
      <c r="H88" s="159"/>
      <c r="I88" s="159"/>
      <c r="J88" s="160"/>
      <c r="K88" s="100" t="str">
        <f t="shared" si="6"/>
        <v/>
      </c>
      <c r="L88" s="101" t="str">
        <f>IF(K88="","",AN88)</f>
        <v/>
      </c>
      <c r="M88" s="102" t="str">
        <f>IF(AM88="", "", MROUND(BB88, 10))</f>
        <v/>
      </c>
      <c r="N88" s="149"/>
      <c r="O88" s="114" t="str">
        <f>IF(M90="","",IF(K90=K82,"No Weight Change",IF(K90&gt;K82,"You Gained:","You Lost:")))</f>
        <v/>
      </c>
      <c r="P88" s="14"/>
      <c r="Q88" s="14"/>
      <c r="R88" s="14"/>
      <c r="S88" s="14"/>
      <c r="T88" s="14"/>
      <c r="U88" s="115" t="str">
        <f>IF(M90="","",IF(K90=K82,"",IF(K90&gt;K82,K90-K82,K82-K90)))</f>
        <v/>
      </c>
      <c r="V88" s="116" t="str">
        <f>IF(O88="","",IF(O88="No Weight Change","",IF($F$4="Lb","Lb",IF($F$4="Kg","Kg",""))))</f>
        <v/>
      </c>
      <c r="W88" s="14"/>
      <c r="X88" s="117"/>
      <c r="Y88" s="109"/>
      <c r="Z88" s="80"/>
      <c r="AA88" s="81">
        <f>AA86+1</f>
        <v>39</v>
      </c>
      <c r="AB88" s="8">
        <f t="shared" si="7"/>
        <v>0</v>
      </c>
      <c r="AC88" s="7">
        <f>IF(K88="",AC86,K88)</f>
        <v>76.95714286</v>
      </c>
      <c r="AD88" s="8">
        <f>AD87</f>
        <v>77</v>
      </c>
      <c r="AE88" s="8">
        <f>IF($F$6&gt;$F$7,IF(AE86&gt;AD88,AE86+$AE$9,AD88),IF($F$6&lt;$F$7,IF(AE86&lt;AD88,AE86+$AE$9,AD88),AD88))</f>
        <v>77</v>
      </c>
      <c r="AF88" s="7" t="str">
        <f t="shared" si="16"/>
        <v/>
      </c>
      <c r="AG88" s="7" t="str">
        <f t="shared" ref="AG88:AL88" si="126">IF(E88="",AF88,E88)</f>
        <v/>
      </c>
      <c r="AH88" s="7" t="str">
        <f t="shared" si="126"/>
        <v/>
      </c>
      <c r="AI88" s="7" t="str">
        <f t="shared" si="126"/>
        <v/>
      </c>
      <c r="AJ88" s="7" t="str">
        <f t="shared" si="126"/>
        <v/>
      </c>
      <c r="AK88" s="7" t="str">
        <f t="shared" si="126"/>
        <v/>
      </c>
      <c r="AL88" s="7" t="str">
        <f t="shared" si="126"/>
        <v/>
      </c>
      <c r="AM88" s="82" t="str">
        <f t="shared" si="10"/>
        <v/>
      </c>
      <c r="AN88" s="83" t="str">
        <f>IF(AM88="","",AM88-AM86)</f>
        <v/>
      </c>
      <c r="AO88" s="84" t="str">
        <f>IF(AP88="","",IF(AN88="","",MROUND(AP88,5)))</f>
        <v/>
      </c>
      <c r="AP88" s="85">
        <f>IF(AB89=0,$AP86,IF(AB88=0,$AP86,((K89+(((-L88)*$AQ$7)/AB89)))+M86+M84+M82+M80+M78)/6)</f>
        <v>3004.379929</v>
      </c>
      <c r="AQ88" s="8"/>
      <c r="AR88" s="8"/>
      <c r="AS88" s="8"/>
      <c r="AT88" s="8"/>
      <c r="AU88" s="8"/>
      <c r="AV88" s="8"/>
      <c r="AW88" s="8"/>
      <c r="AX88" s="8"/>
      <c r="BA88" s="88">
        <f>IF(AM88="", BA86, (AM88*0.3) + (BA86*0.7))</f>
        <v>78.72274376</v>
      </c>
      <c r="BB88" s="88">
        <f>IF(AP88="", BB86, (AP88*0.3) + (BB86*0.7))</f>
        <v>3004.377748</v>
      </c>
      <c r="BC88" s="88">
        <f>IF(BB88="","", BB88*0.8)</f>
        <v>2403.502198</v>
      </c>
    </row>
    <row r="89" ht="15.75" customHeight="1">
      <c r="A89" s="16"/>
      <c r="B89" s="110"/>
      <c r="C89" s="146" t="str">
        <f t="shared" si="14"/>
        <v>Cal.</v>
      </c>
      <c r="D89" s="158"/>
      <c r="E89" s="159"/>
      <c r="F89" s="159"/>
      <c r="G89" s="159"/>
      <c r="H89" s="159"/>
      <c r="I89" s="159"/>
      <c r="J89" s="160"/>
      <c r="K89" s="94" t="str">
        <f t="shared" si="6"/>
        <v/>
      </c>
      <c r="L89" s="95"/>
      <c r="M89" s="96"/>
      <c r="N89" s="149"/>
      <c r="O89" s="118" t="str">
        <f>IF(M90="","",IF(K90=K82,"","At a Rate Of"))</f>
        <v/>
      </c>
      <c r="P89" s="14"/>
      <c r="Q89" s="14"/>
      <c r="R89" s="14"/>
      <c r="S89" s="14"/>
      <c r="T89" s="119" t="str">
        <f>IF(O89="","",U88/4)</f>
        <v/>
      </c>
      <c r="U89" s="14"/>
      <c r="V89" s="120" t="str">
        <f>IF(O88="","",IF(O88="No Weight Change","",IF($F$4="Lb","Lb/Wk",IF($F$4="Kg","Kg/Wk",""))))</f>
        <v/>
      </c>
      <c r="W89" s="14"/>
      <c r="X89" s="117"/>
      <c r="Y89" s="109"/>
      <c r="Z89" s="80"/>
      <c r="AA89" s="81">
        <f>AA88+0.5</f>
        <v>39.5</v>
      </c>
      <c r="AB89" s="8">
        <f t="shared" si="7"/>
        <v>0</v>
      </c>
      <c r="AC89" s="7">
        <f t="shared" ref="AC89:AD89" si="127">AC88</f>
        <v>76.95714286</v>
      </c>
      <c r="AD89" s="8">
        <f t="shared" si="127"/>
        <v>77</v>
      </c>
      <c r="AE89" s="8">
        <f>IF($AE$9=0,0,(AE88+AE90)/2)</f>
        <v>77</v>
      </c>
      <c r="AF89" s="7" t="str">
        <f t="shared" si="16"/>
        <v/>
      </c>
      <c r="AG89" s="7" t="str">
        <f t="shared" ref="AG89:AL89" si="128">IF(E89="",AF89,E89)</f>
        <v/>
      </c>
      <c r="AH89" s="7" t="str">
        <f t="shared" si="128"/>
        <v/>
      </c>
      <c r="AI89" s="7" t="str">
        <f t="shared" si="128"/>
        <v/>
      </c>
      <c r="AJ89" s="7" t="str">
        <f t="shared" si="128"/>
        <v/>
      </c>
      <c r="AK89" s="7" t="str">
        <f t="shared" si="128"/>
        <v/>
      </c>
      <c r="AL89" s="7" t="str">
        <f t="shared" si="128"/>
        <v/>
      </c>
      <c r="AM89" s="97" t="str">
        <f t="shared" si="10"/>
        <v/>
      </c>
      <c r="AN89" s="37"/>
      <c r="AO89" s="37"/>
      <c r="AP89" s="8"/>
      <c r="AQ89" s="8"/>
      <c r="AR89" s="8"/>
      <c r="AS89" s="8"/>
      <c r="AT89" s="8"/>
      <c r="AU89" s="8"/>
      <c r="AV89" s="8"/>
      <c r="AW89" s="8"/>
      <c r="AX89" s="8"/>
    </row>
    <row r="90" ht="15.75" customHeight="1">
      <c r="A90" s="16"/>
      <c r="B90" s="98">
        <f>IF(B88="","",B88+7)</f>
        <v>46256</v>
      </c>
      <c r="C90" s="142" t="str">
        <f t="shared" si="14"/>
        <v>Weight</v>
      </c>
      <c r="D90" s="158"/>
      <c r="E90" s="159"/>
      <c r="F90" s="159"/>
      <c r="G90" s="159"/>
      <c r="H90" s="159"/>
      <c r="I90" s="159"/>
      <c r="J90" s="160"/>
      <c r="K90" s="100" t="str">
        <f t="shared" si="6"/>
        <v/>
      </c>
      <c r="L90" s="101" t="str">
        <f>IF(K90="","",AN90)</f>
        <v/>
      </c>
      <c r="M90" s="102" t="str">
        <f>IF(AM90="", "", MROUND(BB90, 10))</f>
        <v/>
      </c>
      <c r="N90" s="149"/>
      <c r="O90" s="121" t="str">
        <f>IF(T89="","","You have")</f>
        <v/>
      </c>
      <c r="P90" s="26"/>
      <c r="Q90" s="26"/>
      <c r="R90" s="26"/>
      <c r="S90" s="122" t="str">
        <f>IF(T89="","",IF(K90&gt;F79,K90-F79,F79-K90))</f>
        <v/>
      </c>
      <c r="T90" s="123" t="str">
        <f>IF(T89="","",IF(T89="No Weight Change","",IF(F76="Lb","Lb to go!",IF(F76="Kg","Kg to go!",""))))</f>
        <v/>
      </c>
      <c r="U90" s="26"/>
      <c r="V90" s="26"/>
      <c r="W90" s="26"/>
      <c r="X90" s="124"/>
      <c r="Y90" s="109"/>
      <c r="Z90" s="80"/>
      <c r="AA90" s="81">
        <f>AA88+1</f>
        <v>40</v>
      </c>
      <c r="AB90" s="8">
        <f t="shared" si="7"/>
        <v>0</v>
      </c>
      <c r="AC90" s="7">
        <f>IF(K90="",AC88,K90)</f>
        <v>76.95714286</v>
      </c>
      <c r="AD90" s="8">
        <f>AD89</f>
        <v>77</v>
      </c>
      <c r="AE90" s="8">
        <f>IF($F$6&gt;$F$7,IF(AE88&gt;AD90,AE88+$AE$9,AD90),IF($F$6&lt;$F$7,IF(AE88&lt;AD90,AE88+$AE$9,AD90),AD90))</f>
        <v>77</v>
      </c>
      <c r="AF90" s="7" t="str">
        <f t="shared" si="16"/>
        <v/>
      </c>
      <c r="AG90" s="7" t="str">
        <f t="shared" ref="AG90:AL90" si="129">IF(E90="",AF90,E90)</f>
        <v/>
      </c>
      <c r="AH90" s="7" t="str">
        <f t="shared" si="129"/>
        <v/>
      </c>
      <c r="AI90" s="7" t="str">
        <f t="shared" si="129"/>
        <v/>
      </c>
      <c r="AJ90" s="7" t="str">
        <f t="shared" si="129"/>
        <v/>
      </c>
      <c r="AK90" s="7" t="str">
        <f t="shared" si="129"/>
        <v/>
      </c>
      <c r="AL90" s="7" t="str">
        <f t="shared" si="129"/>
        <v/>
      </c>
      <c r="AM90" s="82" t="str">
        <f t="shared" si="10"/>
        <v/>
      </c>
      <c r="AN90" s="83" t="str">
        <f>IF(AM90="","",AM90-AM88)</f>
        <v/>
      </c>
      <c r="AO90" s="84" t="str">
        <f>IF(AP90="","",IF(AN90="","",MROUND(AP90,5)))</f>
        <v/>
      </c>
      <c r="AP90" s="85">
        <f>IF(AB91=0,$AP88,IF(AB90=0,$AP88,((K91+(((-L90)*$AQ$7)/AB91)))+M88+M86+M84+M82+M80)/6)</f>
        <v>3004.379929</v>
      </c>
      <c r="AQ90" s="8"/>
      <c r="AR90" s="8"/>
      <c r="AS90" s="8"/>
      <c r="AT90" s="8"/>
      <c r="AU90" s="8"/>
      <c r="AV90" s="8"/>
      <c r="AW90" s="8"/>
      <c r="AX90" s="8"/>
      <c r="BA90" s="88">
        <f>IF(AM90="", BA88, (AM90*0.3) + (BA88*0.7))</f>
        <v>78.72274376</v>
      </c>
      <c r="BB90" s="88">
        <f>IF(AP90="", BB88, (AP90*0.3) + (BB88*0.7))</f>
        <v>3004.378402</v>
      </c>
      <c r="BC90" s="88">
        <f>IF(BB90="","", BB90*0.8)</f>
        <v>2403.502722</v>
      </c>
    </row>
    <row r="91" ht="15.75" customHeight="1">
      <c r="A91" s="16"/>
      <c r="B91" s="150"/>
      <c r="C91" s="151" t="str">
        <f t="shared" si="14"/>
        <v>Cal.</v>
      </c>
      <c r="D91" s="162"/>
      <c r="E91" s="163"/>
      <c r="F91" s="163"/>
      <c r="G91" s="163"/>
      <c r="H91" s="163"/>
      <c r="I91" s="163"/>
      <c r="J91" s="164"/>
      <c r="K91" s="125" t="str">
        <f t="shared" si="6"/>
        <v/>
      </c>
      <c r="L91" s="126"/>
      <c r="M91" s="127"/>
      <c r="N91" s="149"/>
      <c r="O91" s="128"/>
      <c r="P91" s="129"/>
      <c r="Q91" s="129"/>
      <c r="R91" s="129"/>
      <c r="S91" s="126"/>
      <c r="T91" s="130"/>
      <c r="U91" s="129"/>
      <c r="V91" s="129"/>
      <c r="W91" s="129"/>
      <c r="X91" s="131"/>
      <c r="Y91" s="109"/>
      <c r="Z91" s="80"/>
      <c r="AA91" s="81">
        <f>AA90+0.5</f>
        <v>40.5</v>
      </c>
      <c r="AB91" s="8">
        <f t="shared" si="7"/>
        <v>0</v>
      </c>
      <c r="AC91" s="7">
        <f t="shared" ref="AC91:AD91" si="130">AC90</f>
        <v>76.95714286</v>
      </c>
      <c r="AD91" s="8">
        <f t="shared" si="130"/>
        <v>77</v>
      </c>
      <c r="AE91" s="8">
        <f>IF($AE$9=0,0,(AE90+AE92)/2)</f>
        <v>77</v>
      </c>
      <c r="AF91" s="7" t="str">
        <f t="shared" si="16"/>
        <v/>
      </c>
      <c r="AG91" s="7" t="str">
        <f t="shared" ref="AG91:AL91" si="131">IF(E91="",AF91,E91)</f>
        <v/>
      </c>
      <c r="AH91" s="7" t="str">
        <f t="shared" si="131"/>
        <v/>
      </c>
      <c r="AI91" s="7" t="str">
        <f t="shared" si="131"/>
        <v/>
      </c>
      <c r="AJ91" s="7" t="str">
        <f t="shared" si="131"/>
        <v/>
      </c>
      <c r="AK91" s="7" t="str">
        <f t="shared" si="131"/>
        <v/>
      </c>
      <c r="AL91" s="7" t="str">
        <f t="shared" si="131"/>
        <v/>
      </c>
      <c r="AM91" s="97" t="str">
        <f t="shared" si="10"/>
        <v/>
      </c>
      <c r="AN91" s="37"/>
      <c r="AO91" s="37"/>
      <c r="AP91" s="8"/>
      <c r="AQ91" s="8"/>
      <c r="AR91" s="8"/>
      <c r="AS91" s="8"/>
      <c r="AT91" s="8"/>
      <c r="AU91" s="8"/>
      <c r="AV91" s="8"/>
      <c r="AW91" s="8"/>
      <c r="AX91" s="8"/>
    </row>
    <row r="92" ht="15.75" customHeight="1">
      <c r="A92" s="16"/>
      <c r="B92" s="72">
        <f>IF(B90="","",B90+7)</f>
        <v>46263</v>
      </c>
      <c r="C92" s="70" t="str">
        <f t="shared" si="14"/>
        <v>Weight</v>
      </c>
      <c r="D92" s="155"/>
      <c r="E92" s="156"/>
      <c r="F92" s="156"/>
      <c r="G92" s="156"/>
      <c r="H92" s="156"/>
      <c r="I92" s="156"/>
      <c r="J92" s="157"/>
      <c r="K92" s="76" t="str">
        <f t="shared" si="6"/>
        <v/>
      </c>
      <c r="L92" s="77" t="str">
        <f>IF(K92="","",AN92)</f>
        <v/>
      </c>
      <c r="M92" s="78" t="str">
        <f>IF(AM92="", "", MROUND(BB92, 10))</f>
        <v/>
      </c>
      <c r="N92" s="149"/>
      <c r="O92" s="79"/>
      <c r="P92" s="79"/>
      <c r="Q92" s="79"/>
      <c r="R92" s="79"/>
      <c r="S92" s="50"/>
      <c r="T92" s="79"/>
      <c r="U92" s="50"/>
      <c r="V92" s="79"/>
      <c r="W92" s="79"/>
      <c r="X92" s="79"/>
      <c r="Y92" s="80"/>
      <c r="Z92" s="80"/>
      <c r="AA92" s="81">
        <f>AA90+1</f>
        <v>41</v>
      </c>
      <c r="AB92" s="8">
        <f t="shared" si="7"/>
        <v>0</v>
      </c>
      <c r="AC92" s="7">
        <f>IF(K92="",AC90,K92)</f>
        <v>76.95714286</v>
      </c>
      <c r="AD92" s="8">
        <f>AD91</f>
        <v>77</v>
      </c>
      <c r="AE92" s="8">
        <f>IF($F$6&gt;$F$7,IF(AE90&gt;AD92,AE90+$AE$9,AD92),IF($F$6&lt;$F$7,IF(AE90&lt;AD92,AE90+$AE$9,AD92),AD92))</f>
        <v>77</v>
      </c>
      <c r="AF92" s="7" t="str">
        <f t="shared" si="16"/>
        <v/>
      </c>
      <c r="AG92" s="7" t="str">
        <f t="shared" ref="AG92:AL92" si="132">IF(E92="",AF92,E92)</f>
        <v/>
      </c>
      <c r="AH92" s="7" t="str">
        <f t="shared" si="132"/>
        <v/>
      </c>
      <c r="AI92" s="7" t="str">
        <f t="shared" si="132"/>
        <v/>
      </c>
      <c r="AJ92" s="7" t="str">
        <f t="shared" si="132"/>
        <v/>
      </c>
      <c r="AK92" s="7" t="str">
        <f t="shared" si="132"/>
        <v/>
      </c>
      <c r="AL92" s="7" t="str">
        <f t="shared" si="132"/>
        <v/>
      </c>
      <c r="AM92" s="82" t="str">
        <f t="shared" si="10"/>
        <v/>
      </c>
      <c r="AN92" s="83" t="str">
        <f>IF(AM92="","",AM92-AM90)</f>
        <v/>
      </c>
      <c r="AO92" s="84" t="str">
        <f>IF(AP92="","",IF(AN92="","",MROUND(AP92,5)))</f>
        <v/>
      </c>
      <c r="AP92" s="85">
        <f>IF(AB93=0,$AP90,IF(AB92=0,$AP90,((K93+(((-L92)*$AQ$7)/AB93)))+M90+M88+M86+M84+M82)/6)</f>
        <v>3004.379929</v>
      </c>
      <c r="AQ92" s="8"/>
      <c r="AR92" s="8"/>
      <c r="AS92" s="8"/>
      <c r="AT92" s="8"/>
      <c r="AU92" s="8"/>
      <c r="AV92" s="8"/>
      <c r="AW92" s="8"/>
      <c r="AX92" s="8"/>
      <c r="BA92" s="88">
        <f>IF(AM92="", BA90, (AM92*0.3) + (BA90*0.7))</f>
        <v>78.72274376</v>
      </c>
      <c r="BB92" s="88">
        <f>IF(AP92="", BB90, (AP92*0.3) + (BB90*0.7))</f>
        <v>3004.37886</v>
      </c>
      <c r="BC92" s="88">
        <f>IF(BB92="","", BB92*0.8)</f>
        <v>2403.503088</v>
      </c>
    </row>
    <row r="93" ht="15.75" customHeight="1">
      <c r="A93" s="16"/>
      <c r="B93" s="110"/>
      <c r="C93" s="137" t="str">
        <f t="shared" si="14"/>
        <v>Cal.</v>
      </c>
      <c r="D93" s="158"/>
      <c r="E93" s="159"/>
      <c r="F93" s="159"/>
      <c r="G93" s="159"/>
      <c r="H93" s="159"/>
      <c r="I93" s="159"/>
      <c r="J93" s="160"/>
      <c r="K93" s="94" t="str">
        <f t="shared" si="6"/>
        <v/>
      </c>
      <c r="L93" s="95"/>
      <c r="M93" s="96"/>
      <c r="N93" s="149"/>
      <c r="O93" s="79"/>
      <c r="P93" s="79"/>
      <c r="Q93" s="79"/>
      <c r="R93" s="79"/>
      <c r="S93" s="50"/>
      <c r="T93" s="79"/>
      <c r="U93" s="50"/>
      <c r="V93" s="79"/>
      <c r="W93" s="79"/>
      <c r="X93" s="79"/>
      <c r="Y93" s="80"/>
      <c r="Z93" s="80"/>
      <c r="AA93" s="81">
        <f>AA92+0.5</f>
        <v>41.5</v>
      </c>
      <c r="AB93" s="8">
        <f t="shared" si="7"/>
        <v>0</v>
      </c>
      <c r="AC93" s="7">
        <f t="shared" ref="AC93:AD93" si="133">AC92</f>
        <v>76.95714286</v>
      </c>
      <c r="AD93" s="8">
        <f t="shared" si="133"/>
        <v>77</v>
      </c>
      <c r="AE93" s="8">
        <f>IF($AE$9=0,0,(AE92+AE94)/2)</f>
        <v>77</v>
      </c>
      <c r="AF93" s="7" t="str">
        <f t="shared" si="16"/>
        <v/>
      </c>
      <c r="AG93" s="7" t="str">
        <f t="shared" ref="AG93:AL93" si="134">IF(E93="",AF93,E93)</f>
        <v/>
      </c>
      <c r="AH93" s="7" t="str">
        <f t="shared" si="134"/>
        <v/>
      </c>
      <c r="AI93" s="7" t="str">
        <f t="shared" si="134"/>
        <v/>
      </c>
      <c r="AJ93" s="7" t="str">
        <f t="shared" si="134"/>
        <v/>
      </c>
      <c r="AK93" s="7" t="str">
        <f t="shared" si="134"/>
        <v/>
      </c>
      <c r="AL93" s="7" t="str">
        <f t="shared" si="134"/>
        <v/>
      </c>
      <c r="AM93" s="97" t="str">
        <f t="shared" si="10"/>
        <v/>
      </c>
      <c r="AN93" s="37"/>
      <c r="AO93" s="37"/>
      <c r="AP93" s="8"/>
      <c r="AQ93" s="8"/>
      <c r="AR93" s="8"/>
      <c r="AS93" s="8"/>
      <c r="AT93" s="8"/>
      <c r="AU93" s="8"/>
      <c r="AV93" s="8"/>
      <c r="AW93" s="8"/>
      <c r="AX93" s="8"/>
    </row>
    <row r="94" ht="15.75" customHeight="1">
      <c r="A94" s="16"/>
      <c r="B94" s="98">
        <f>IF(B92="","",B92+7)</f>
        <v>46270</v>
      </c>
      <c r="C94" s="142" t="str">
        <f t="shared" si="14"/>
        <v>Weight</v>
      </c>
      <c r="D94" s="158"/>
      <c r="E94" s="159"/>
      <c r="F94" s="159"/>
      <c r="G94" s="159"/>
      <c r="H94" s="159"/>
      <c r="I94" s="159"/>
      <c r="J94" s="160"/>
      <c r="K94" s="100" t="str">
        <f t="shared" si="6"/>
        <v/>
      </c>
      <c r="L94" s="101" t="str">
        <f>IF(K94="","",AN94)</f>
        <v/>
      </c>
      <c r="M94" s="102" t="str">
        <f>IF(AM94="", "", MROUND(BB94, 10))</f>
        <v/>
      </c>
      <c r="N94" s="149"/>
      <c r="O94" s="103" t="str">
        <f>IF(M98="","","From")</f>
        <v/>
      </c>
      <c r="P94" s="104"/>
      <c r="Q94" s="105" t="str">
        <f>IF(M98="","",B92)</f>
        <v/>
      </c>
      <c r="R94" s="104"/>
      <c r="S94" s="104"/>
      <c r="T94" s="106" t="str">
        <f>IF(M98="","","to")</f>
        <v/>
      </c>
      <c r="U94" s="107" t="str">
        <f>IF(M98="","",B98)</f>
        <v/>
      </c>
      <c r="V94" s="104"/>
      <c r="W94" s="104"/>
      <c r="X94" s="108"/>
      <c r="Y94" s="109"/>
      <c r="Z94" s="80"/>
      <c r="AA94" s="81">
        <f>AA92+1</f>
        <v>42</v>
      </c>
      <c r="AB94" s="8">
        <f t="shared" si="7"/>
        <v>0</v>
      </c>
      <c r="AC94" s="7">
        <f>IF(K94="",AC92,K94)</f>
        <v>76.95714286</v>
      </c>
      <c r="AD94" s="8">
        <f>AD93</f>
        <v>77</v>
      </c>
      <c r="AE94" s="8">
        <f>IF($F$6&gt;$F$7,IF(AE92&gt;AD94,AE92+$AE$9,AD94),IF($F$6&lt;$F$7,IF(AE92&lt;AD94,AE92+$AE$9,AD94),AD94))</f>
        <v>77</v>
      </c>
      <c r="AF94" s="7" t="str">
        <f t="shared" si="16"/>
        <v/>
      </c>
      <c r="AG94" s="7" t="str">
        <f t="shared" ref="AG94:AL94" si="135">IF(E94="",AF94,E94)</f>
        <v/>
      </c>
      <c r="AH94" s="7" t="str">
        <f t="shared" si="135"/>
        <v/>
      </c>
      <c r="AI94" s="7" t="str">
        <f t="shared" si="135"/>
        <v/>
      </c>
      <c r="AJ94" s="7" t="str">
        <f t="shared" si="135"/>
        <v/>
      </c>
      <c r="AK94" s="7" t="str">
        <f t="shared" si="135"/>
        <v/>
      </c>
      <c r="AL94" s="7" t="str">
        <f t="shared" si="135"/>
        <v/>
      </c>
      <c r="AM94" s="82" t="str">
        <f t="shared" si="10"/>
        <v/>
      </c>
      <c r="AN94" s="83" t="str">
        <f>IF(AM94="","",AM94-AM92)</f>
        <v/>
      </c>
      <c r="AO94" s="84" t="str">
        <f>IF(AP94="","",IF(AN94="","",MROUND(AP94,5)))</f>
        <v/>
      </c>
      <c r="AP94" s="85">
        <f>IF(AB95=0,$AP92,IF(AB94=0,$AP92,((K95+(((-L94)*$AQ$7)/AB95)))+M92+M90+M88+M86+M84)/6)</f>
        <v>3004.379929</v>
      </c>
      <c r="AQ94" s="8"/>
      <c r="AR94" s="8"/>
      <c r="AS94" s="8"/>
      <c r="AT94" s="8"/>
      <c r="AU94" s="8"/>
      <c r="AV94" s="8"/>
      <c r="AW94" s="8"/>
      <c r="AX94" s="8"/>
      <c r="BA94" s="88">
        <f>IF(AM94="", BA92, (AM94*0.3) + (BA92*0.7))</f>
        <v>78.72274376</v>
      </c>
      <c r="BB94" s="88">
        <f>IF(AP94="", BB92, (AP94*0.3) + (BB92*0.7))</f>
        <v>3004.379181</v>
      </c>
      <c r="BC94" s="88">
        <f>IF(BB94="","", BB94*0.8)</f>
        <v>2403.503344</v>
      </c>
    </row>
    <row r="95" ht="15.75" customHeight="1">
      <c r="A95" s="16"/>
      <c r="B95" s="110"/>
      <c r="C95" s="146" t="str">
        <f t="shared" si="14"/>
        <v>Cal.</v>
      </c>
      <c r="D95" s="158"/>
      <c r="E95" s="159"/>
      <c r="F95" s="159"/>
      <c r="G95" s="159"/>
      <c r="H95" s="159"/>
      <c r="I95" s="159"/>
      <c r="J95" s="160"/>
      <c r="K95" s="94" t="str">
        <f t="shared" si="6"/>
        <v/>
      </c>
      <c r="L95" s="95"/>
      <c r="M95" s="96"/>
      <c r="N95" s="149"/>
      <c r="O95" s="112"/>
      <c r="Q95" s="36"/>
      <c r="T95" s="37"/>
      <c r="U95" s="36"/>
      <c r="X95" s="113"/>
      <c r="Y95" s="109"/>
      <c r="Z95" s="80"/>
      <c r="AA95" s="81">
        <f>AA94+0.5</f>
        <v>42.5</v>
      </c>
      <c r="AB95" s="8">
        <f t="shared" si="7"/>
        <v>0</v>
      </c>
      <c r="AC95" s="7">
        <f t="shared" ref="AC95:AD95" si="136">AC94</f>
        <v>76.95714286</v>
      </c>
      <c r="AD95" s="8">
        <f t="shared" si="136"/>
        <v>77</v>
      </c>
      <c r="AE95" s="8">
        <f>IF($AE$9=0,0,(AE94+AE96)/2)</f>
        <v>77</v>
      </c>
      <c r="AF95" s="7" t="str">
        <f t="shared" si="16"/>
        <v/>
      </c>
      <c r="AG95" s="7" t="str">
        <f t="shared" ref="AG95:AL95" si="137">IF(E95="",AF95,E95)</f>
        <v/>
      </c>
      <c r="AH95" s="7" t="str">
        <f t="shared" si="137"/>
        <v/>
      </c>
      <c r="AI95" s="7" t="str">
        <f t="shared" si="137"/>
        <v/>
      </c>
      <c r="AJ95" s="7" t="str">
        <f t="shared" si="137"/>
        <v/>
      </c>
      <c r="AK95" s="7" t="str">
        <f t="shared" si="137"/>
        <v/>
      </c>
      <c r="AL95" s="7" t="str">
        <f t="shared" si="137"/>
        <v/>
      </c>
      <c r="AM95" s="97" t="str">
        <f t="shared" si="10"/>
        <v/>
      </c>
      <c r="AN95" s="37"/>
      <c r="AO95" s="37"/>
      <c r="AP95" s="8"/>
      <c r="AQ95" s="8"/>
      <c r="AR95" s="8"/>
      <c r="AS95" s="8"/>
      <c r="AT95" s="8"/>
      <c r="AU95" s="8"/>
      <c r="AV95" s="8"/>
      <c r="AW95" s="8"/>
      <c r="AX95" s="8"/>
    </row>
    <row r="96" ht="15.75" customHeight="1">
      <c r="A96" s="16"/>
      <c r="B96" s="98">
        <f>IF(B94="","",B94+7)</f>
        <v>46277</v>
      </c>
      <c r="C96" s="142" t="str">
        <f t="shared" si="14"/>
        <v>Weight</v>
      </c>
      <c r="D96" s="158"/>
      <c r="E96" s="159"/>
      <c r="F96" s="159"/>
      <c r="G96" s="159"/>
      <c r="H96" s="159"/>
      <c r="I96" s="159"/>
      <c r="J96" s="160"/>
      <c r="K96" s="100" t="str">
        <f t="shared" si="6"/>
        <v/>
      </c>
      <c r="L96" s="101" t="str">
        <f>IF(K96="","",AN96)</f>
        <v/>
      </c>
      <c r="M96" s="102" t="str">
        <f>IF(AM96="", "", MROUND(BB96, 10))</f>
        <v/>
      </c>
      <c r="N96" s="149"/>
      <c r="O96" s="114" t="str">
        <f>IF(M98="","",IF(K98=K90,"No Weight Change",IF(K98&gt;K90,"You Gained:","You Lost:")))</f>
        <v/>
      </c>
      <c r="P96" s="14"/>
      <c r="Q96" s="14"/>
      <c r="R96" s="14"/>
      <c r="S96" s="14"/>
      <c r="T96" s="14"/>
      <c r="U96" s="115" t="str">
        <f>IF(M98="","",IF(K98=K90,"",IF(K98&gt;K90,K98-K90,K90-K98)))</f>
        <v/>
      </c>
      <c r="V96" s="116" t="str">
        <f>IF(O96="","",IF(O96="No Weight Change","",IF($F$4="Lb","Lb",IF($F$4="Kg","Kg",""))))</f>
        <v/>
      </c>
      <c r="W96" s="14"/>
      <c r="X96" s="117"/>
      <c r="Y96" s="109"/>
      <c r="Z96" s="80"/>
      <c r="AA96" s="81">
        <f>AA94+1</f>
        <v>43</v>
      </c>
      <c r="AB96" s="8">
        <f t="shared" si="7"/>
        <v>0</v>
      </c>
      <c r="AC96" s="7">
        <f>IF(K96="",AC94,K96)</f>
        <v>76.95714286</v>
      </c>
      <c r="AD96" s="8">
        <f>AD95</f>
        <v>77</v>
      </c>
      <c r="AE96" s="8">
        <f>IF($F$6&gt;$F$7,IF(AE94&gt;AD96,AE94+$AE$9,AD96),IF($F$6&lt;$F$7,IF(AE94&lt;AD96,AE94+$AE$9,AD96),AD96))</f>
        <v>77</v>
      </c>
      <c r="AF96" s="7" t="str">
        <f t="shared" si="16"/>
        <v/>
      </c>
      <c r="AG96" s="7" t="str">
        <f t="shared" ref="AG96:AL96" si="138">IF(E96="",AF96,E96)</f>
        <v/>
      </c>
      <c r="AH96" s="7" t="str">
        <f t="shared" si="138"/>
        <v/>
      </c>
      <c r="AI96" s="7" t="str">
        <f t="shared" si="138"/>
        <v/>
      </c>
      <c r="AJ96" s="7" t="str">
        <f t="shared" si="138"/>
        <v/>
      </c>
      <c r="AK96" s="7" t="str">
        <f t="shared" si="138"/>
        <v/>
      </c>
      <c r="AL96" s="7" t="str">
        <f t="shared" si="138"/>
        <v/>
      </c>
      <c r="AM96" s="82" t="str">
        <f t="shared" si="10"/>
        <v/>
      </c>
      <c r="AN96" s="83" t="str">
        <f>IF(AM96="","",AM96-AM94)</f>
        <v/>
      </c>
      <c r="AO96" s="84" t="str">
        <f>IF(AP96="","",IF(AN96="","",MROUND(AP96,5)))</f>
        <v/>
      </c>
      <c r="AP96" s="85">
        <f>IF(AB97=0,$AP94,IF(AB96=0,$AP94,((K97+(((-L96)*$AQ$7)/AB97)))+M94+M92+M90+M88+M86)/6)</f>
        <v>3004.379929</v>
      </c>
      <c r="AQ96" s="8"/>
      <c r="AR96" s="8"/>
      <c r="AS96" s="8"/>
      <c r="AT96" s="8"/>
      <c r="AU96" s="8"/>
      <c r="AV96" s="8"/>
      <c r="AW96" s="8"/>
      <c r="AX96" s="8"/>
      <c r="BA96" s="88">
        <f>IF(AM96="", BA94, (AM96*0.3) + (BA94*0.7))</f>
        <v>78.72274376</v>
      </c>
      <c r="BB96" s="88">
        <f>IF(AP96="", BB94, (AP96*0.3) + (BB94*0.7))</f>
        <v>3004.379405</v>
      </c>
      <c r="BC96" s="88">
        <f>IF(BB96="","", BB96*0.8)</f>
        <v>2403.503524</v>
      </c>
    </row>
    <row r="97" ht="15.75" customHeight="1">
      <c r="A97" s="16"/>
      <c r="B97" s="110"/>
      <c r="C97" s="146" t="str">
        <f t="shared" si="14"/>
        <v>Cal.</v>
      </c>
      <c r="D97" s="158"/>
      <c r="E97" s="159"/>
      <c r="F97" s="159"/>
      <c r="G97" s="159"/>
      <c r="H97" s="159"/>
      <c r="I97" s="159"/>
      <c r="J97" s="160"/>
      <c r="K97" s="94" t="str">
        <f t="shared" si="6"/>
        <v/>
      </c>
      <c r="L97" s="95"/>
      <c r="M97" s="96"/>
      <c r="N97" s="149"/>
      <c r="O97" s="118" t="str">
        <f>IF(M98="","",IF(K98=K90,"","At a Rate Of"))</f>
        <v/>
      </c>
      <c r="P97" s="14"/>
      <c r="Q97" s="14"/>
      <c r="R97" s="14"/>
      <c r="S97" s="14"/>
      <c r="T97" s="119" t="str">
        <f>IF(O97="","",U96/4)</f>
        <v/>
      </c>
      <c r="U97" s="14"/>
      <c r="V97" s="120" t="str">
        <f>IF(O96="","",IF(O96="No Weight Change","",IF($F$4="Lb","Lb/Wk",IF($F$4="Kg","Kg/Wk",""))))</f>
        <v/>
      </c>
      <c r="W97" s="14"/>
      <c r="X97" s="117"/>
      <c r="Y97" s="109"/>
      <c r="Z97" s="80"/>
      <c r="AA97" s="81">
        <f>AA96+0.5</f>
        <v>43.5</v>
      </c>
      <c r="AB97" s="8">
        <f t="shared" si="7"/>
        <v>0</v>
      </c>
      <c r="AC97" s="7">
        <f t="shared" ref="AC97:AD97" si="139">AC96</f>
        <v>76.95714286</v>
      </c>
      <c r="AD97" s="8">
        <f t="shared" si="139"/>
        <v>77</v>
      </c>
      <c r="AE97" s="8">
        <f>IF($AE$9=0,0,(AE96+AE98)/2)</f>
        <v>77</v>
      </c>
      <c r="AF97" s="7" t="str">
        <f t="shared" si="16"/>
        <v/>
      </c>
      <c r="AG97" s="7" t="str">
        <f t="shared" ref="AG97:AL97" si="140">IF(E97="",AF97,E97)</f>
        <v/>
      </c>
      <c r="AH97" s="7" t="str">
        <f t="shared" si="140"/>
        <v/>
      </c>
      <c r="AI97" s="7" t="str">
        <f t="shared" si="140"/>
        <v/>
      </c>
      <c r="AJ97" s="7" t="str">
        <f t="shared" si="140"/>
        <v/>
      </c>
      <c r="AK97" s="7" t="str">
        <f t="shared" si="140"/>
        <v/>
      </c>
      <c r="AL97" s="7" t="str">
        <f t="shared" si="140"/>
        <v/>
      </c>
      <c r="AM97" s="97" t="str">
        <f t="shared" si="10"/>
        <v/>
      </c>
      <c r="AN97" s="37"/>
      <c r="AO97" s="37"/>
      <c r="AP97" s="8"/>
      <c r="AQ97" s="8"/>
      <c r="AR97" s="8"/>
      <c r="AS97" s="8"/>
      <c r="AT97" s="8"/>
      <c r="AU97" s="8"/>
      <c r="AV97" s="8"/>
      <c r="AW97" s="8"/>
      <c r="AX97" s="8"/>
    </row>
    <row r="98" ht="15.75" customHeight="1">
      <c r="A98" s="16"/>
      <c r="B98" s="98">
        <f>IF(B96="","",B96+7)</f>
        <v>46284</v>
      </c>
      <c r="C98" s="142" t="str">
        <f t="shared" si="14"/>
        <v>Weight</v>
      </c>
      <c r="D98" s="158"/>
      <c r="E98" s="159"/>
      <c r="F98" s="159"/>
      <c r="G98" s="159"/>
      <c r="H98" s="159"/>
      <c r="I98" s="159"/>
      <c r="J98" s="160"/>
      <c r="K98" s="100" t="str">
        <f t="shared" si="6"/>
        <v/>
      </c>
      <c r="L98" s="101" t="str">
        <f>IF(K98="","",AN98)</f>
        <v/>
      </c>
      <c r="M98" s="102" t="str">
        <f>IF(AM98="", "", MROUND(BB98, 10))</f>
        <v/>
      </c>
      <c r="N98" s="149"/>
      <c r="O98" s="121" t="str">
        <f>IF(T97="","","You have")</f>
        <v/>
      </c>
      <c r="P98" s="26"/>
      <c r="Q98" s="26"/>
      <c r="R98" s="26"/>
      <c r="S98" s="122" t="str">
        <f>IF(T97="","",IF(K98&gt;F87,K98-F87,F87-K98))</f>
        <v/>
      </c>
      <c r="T98" s="123" t="str">
        <f>IF(T97="","",IF(T97="No Weight Change","",IF(F84="Lb","Lb to go!",IF(F84="Kg","Kg to go!",""))))</f>
        <v/>
      </c>
      <c r="U98" s="26"/>
      <c r="V98" s="26"/>
      <c r="W98" s="26"/>
      <c r="X98" s="124"/>
      <c r="Y98" s="109"/>
      <c r="Z98" s="80"/>
      <c r="AA98" s="81">
        <f>AA96+1</f>
        <v>44</v>
      </c>
      <c r="AB98" s="8">
        <f t="shared" si="7"/>
        <v>0</v>
      </c>
      <c r="AC98" s="7">
        <f>IF(K98="",AC96,K98)</f>
        <v>76.95714286</v>
      </c>
      <c r="AD98" s="8">
        <f>AD97</f>
        <v>77</v>
      </c>
      <c r="AE98" s="8">
        <f>IF($F$6&gt;$F$7,IF(AE96&gt;AD98,AE96+$AE$9,AD98),IF($F$6&lt;$F$7,IF(AE96&lt;AD98,AE96+$AE$9,AD98),AD98))</f>
        <v>77</v>
      </c>
      <c r="AF98" s="7" t="str">
        <f t="shared" si="16"/>
        <v/>
      </c>
      <c r="AG98" s="7" t="str">
        <f t="shared" ref="AG98:AL98" si="141">IF(E98="",AF98,E98)</f>
        <v/>
      </c>
      <c r="AH98" s="7" t="str">
        <f t="shared" si="141"/>
        <v/>
      </c>
      <c r="AI98" s="7" t="str">
        <f t="shared" si="141"/>
        <v/>
      </c>
      <c r="AJ98" s="7" t="str">
        <f t="shared" si="141"/>
        <v/>
      </c>
      <c r="AK98" s="7" t="str">
        <f t="shared" si="141"/>
        <v/>
      </c>
      <c r="AL98" s="7" t="str">
        <f t="shared" si="141"/>
        <v/>
      </c>
      <c r="AM98" s="82" t="str">
        <f t="shared" si="10"/>
        <v/>
      </c>
      <c r="AN98" s="83" t="str">
        <f>IF(AM98="","",AM98-AM96)</f>
        <v/>
      </c>
      <c r="AO98" s="84" t="str">
        <f>IF(AP98="","",IF(AN98="","",MROUND(AP98,5)))</f>
        <v/>
      </c>
      <c r="AP98" s="85">
        <f>IF(AB99=0,$AP96,IF(AB98=0,$AP96,((K99+(((-L98)*$AQ$7)/AB99)))+M96+M94+M92+M90+M88)/6)</f>
        <v>3004.379929</v>
      </c>
      <c r="AQ98" s="8"/>
      <c r="AR98" s="8"/>
      <c r="AS98" s="8"/>
      <c r="AT98" s="8"/>
      <c r="AU98" s="8"/>
      <c r="AV98" s="8"/>
      <c r="AW98" s="8"/>
      <c r="AX98" s="8"/>
      <c r="BA98" s="88">
        <f>IF(AM98="", BA96, (AM98*0.3) + (BA96*0.7))</f>
        <v>78.72274376</v>
      </c>
      <c r="BB98" s="88">
        <f>IF(AP98="", BB96, (AP98*0.3) + (BB96*0.7))</f>
        <v>3004.379562</v>
      </c>
      <c r="BC98" s="88">
        <f>IF(BB98="","", BB98*0.8)</f>
        <v>2403.50365</v>
      </c>
    </row>
    <row r="99" ht="15.75" customHeight="1">
      <c r="A99" s="16"/>
      <c r="B99" s="150"/>
      <c r="C99" s="151" t="str">
        <f t="shared" si="14"/>
        <v>Cal.</v>
      </c>
      <c r="D99" s="162"/>
      <c r="E99" s="163"/>
      <c r="F99" s="163"/>
      <c r="G99" s="163"/>
      <c r="H99" s="163"/>
      <c r="I99" s="163"/>
      <c r="J99" s="164"/>
      <c r="K99" s="125" t="str">
        <f t="shared" si="6"/>
        <v/>
      </c>
      <c r="L99" s="126"/>
      <c r="M99" s="127"/>
      <c r="N99" s="149"/>
      <c r="O99" s="128"/>
      <c r="P99" s="129"/>
      <c r="Q99" s="129"/>
      <c r="R99" s="129"/>
      <c r="S99" s="126"/>
      <c r="T99" s="130"/>
      <c r="U99" s="129"/>
      <c r="V99" s="129"/>
      <c r="W99" s="129"/>
      <c r="X99" s="131"/>
      <c r="Y99" s="109"/>
      <c r="Z99" s="80"/>
      <c r="AA99" s="81">
        <f>AA98+0.5</f>
        <v>44.5</v>
      </c>
      <c r="AB99" s="8">
        <f t="shared" si="7"/>
        <v>0</v>
      </c>
      <c r="AC99" s="7">
        <f t="shared" ref="AC99:AD99" si="142">AC98</f>
        <v>76.95714286</v>
      </c>
      <c r="AD99" s="8">
        <f t="shared" si="142"/>
        <v>77</v>
      </c>
      <c r="AE99" s="8">
        <f>IF($AE$9=0,0,(AE98+AE100)/2)</f>
        <v>77</v>
      </c>
      <c r="AF99" s="7" t="str">
        <f t="shared" si="16"/>
        <v/>
      </c>
      <c r="AG99" s="7" t="str">
        <f t="shared" ref="AG99:AL99" si="143">IF(E99="",AF99,E99)</f>
        <v/>
      </c>
      <c r="AH99" s="7" t="str">
        <f t="shared" si="143"/>
        <v/>
      </c>
      <c r="AI99" s="7" t="str">
        <f t="shared" si="143"/>
        <v/>
      </c>
      <c r="AJ99" s="7" t="str">
        <f t="shared" si="143"/>
        <v/>
      </c>
      <c r="AK99" s="7" t="str">
        <f t="shared" si="143"/>
        <v/>
      </c>
      <c r="AL99" s="7" t="str">
        <f t="shared" si="143"/>
        <v/>
      </c>
      <c r="AM99" s="97" t="str">
        <f t="shared" si="10"/>
        <v/>
      </c>
      <c r="AN99" s="37"/>
      <c r="AO99" s="37"/>
      <c r="AP99" s="8"/>
      <c r="AQ99" s="8"/>
      <c r="AR99" s="8"/>
      <c r="AS99" s="8"/>
      <c r="AT99" s="8"/>
      <c r="AU99" s="8"/>
      <c r="AV99" s="8"/>
      <c r="AW99" s="8"/>
      <c r="AX99" s="8"/>
    </row>
    <row r="100" ht="15.75" customHeight="1">
      <c r="A100" s="16"/>
      <c r="B100" s="72">
        <f>IF(B98="","",B98+7)</f>
        <v>46291</v>
      </c>
      <c r="C100" s="70" t="str">
        <f t="shared" si="14"/>
        <v>Weight</v>
      </c>
      <c r="D100" s="155"/>
      <c r="E100" s="156"/>
      <c r="F100" s="156"/>
      <c r="G100" s="156"/>
      <c r="H100" s="156"/>
      <c r="I100" s="156"/>
      <c r="J100" s="157"/>
      <c r="K100" s="76" t="str">
        <f t="shared" si="6"/>
        <v/>
      </c>
      <c r="L100" s="77" t="str">
        <f>IF(K100="","",AN100)</f>
        <v/>
      </c>
      <c r="M100" s="78" t="str">
        <f>IF(AM100="", "", MROUND(BB100, 10))</f>
        <v/>
      </c>
      <c r="N100" s="149"/>
      <c r="O100" s="79"/>
      <c r="P100" s="79"/>
      <c r="Q100" s="79"/>
      <c r="R100" s="79"/>
      <c r="S100" s="50"/>
      <c r="T100" s="79"/>
      <c r="U100" s="50"/>
      <c r="V100" s="79"/>
      <c r="W100" s="79"/>
      <c r="X100" s="79"/>
      <c r="Y100" s="80"/>
      <c r="Z100" s="80"/>
      <c r="AA100" s="81">
        <f>AA98+1</f>
        <v>45</v>
      </c>
      <c r="AB100" s="8">
        <f t="shared" si="7"/>
        <v>0</v>
      </c>
      <c r="AC100" s="7">
        <f>IF(K100="",AC98,K100)</f>
        <v>76.95714286</v>
      </c>
      <c r="AD100" s="8">
        <f>AD99</f>
        <v>77</v>
      </c>
      <c r="AE100" s="8">
        <f>IF($F$6&gt;$F$7,IF(AE98&gt;AD100,AE98+$AE$9,AD100),IF($F$6&lt;$F$7,IF(AE98&lt;AD100,AE98+$AE$9,AD100),AD100))</f>
        <v>77</v>
      </c>
      <c r="AF100" s="7" t="str">
        <f t="shared" si="16"/>
        <v/>
      </c>
      <c r="AG100" s="7" t="str">
        <f t="shared" ref="AG100:AL100" si="144">IF(E100="",AF100,E100)</f>
        <v/>
      </c>
      <c r="AH100" s="7" t="str">
        <f t="shared" si="144"/>
        <v/>
      </c>
      <c r="AI100" s="7" t="str">
        <f t="shared" si="144"/>
        <v/>
      </c>
      <c r="AJ100" s="7" t="str">
        <f t="shared" si="144"/>
        <v/>
      </c>
      <c r="AK100" s="7" t="str">
        <f t="shared" si="144"/>
        <v/>
      </c>
      <c r="AL100" s="7" t="str">
        <f t="shared" si="144"/>
        <v/>
      </c>
      <c r="AM100" s="82" t="str">
        <f t="shared" si="10"/>
        <v/>
      </c>
      <c r="AN100" s="83" t="str">
        <f>IF(AM100="","",AM100-AM98)</f>
        <v/>
      </c>
      <c r="AO100" s="84" t="str">
        <f>IF(AP100="","",IF(AN100="","",MROUND(AP100,5)))</f>
        <v/>
      </c>
      <c r="AP100" s="85">
        <f>IF(AB101=0,$AP98,IF(AB100=0,$AP98,((K101+(((-L100)*$AQ$7)/AB101)))+M98+M96+M94+M92+M90)/6)</f>
        <v>3004.379929</v>
      </c>
      <c r="AQ100" s="8"/>
      <c r="AR100" s="8"/>
      <c r="AS100" s="8"/>
      <c r="AT100" s="8"/>
      <c r="AU100" s="8"/>
      <c r="AV100" s="8"/>
      <c r="AW100" s="8"/>
      <c r="AX100" s="8"/>
      <c r="BA100" s="88">
        <f>IF(AM100="", BA98, (AM100*0.3) + (BA98*0.7))</f>
        <v>78.72274376</v>
      </c>
      <c r="BB100" s="88">
        <f>IF(AP100="", BB98, (AP100*0.3) + (BB98*0.7))</f>
        <v>3004.379672</v>
      </c>
      <c r="BC100" s="88">
        <f>IF(BB100="","", BB100*0.8)</f>
        <v>2403.503738</v>
      </c>
    </row>
    <row r="101" ht="15.75" customHeight="1">
      <c r="A101" s="16"/>
      <c r="B101" s="110"/>
      <c r="C101" s="137" t="str">
        <f t="shared" si="14"/>
        <v>Cal.</v>
      </c>
      <c r="D101" s="158"/>
      <c r="E101" s="159"/>
      <c r="F101" s="159"/>
      <c r="G101" s="159"/>
      <c r="H101" s="159"/>
      <c r="I101" s="159"/>
      <c r="J101" s="160"/>
      <c r="K101" s="94" t="str">
        <f t="shared" si="6"/>
        <v/>
      </c>
      <c r="L101" s="95"/>
      <c r="M101" s="96"/>
      <c r="N101" s="149"/>
      <c r="O101" s="79"/>
      <c r="P101" s="79"/>
      <c r="Q101" s="79"/>
      <c r="R101" s="79"/>
      <c r="S101" s="50"/>
      <c r="T101" s="79"/>
      <c r="U101" s="50"/>
      <c r="V101" s="79"/>
      <c r="W101" s="79"/>
      <c r="X101" s="79"/>
      <c r="Y101" s="80"/>
      <c r="Z101" s="80"/>
      <c r="AA101" s="81">
        <f>AA100+0.5</f>
        <v>45.5</v>
      </c>
      <c r="AB101" s="8">
        <f t="shared" si="7"/>
        <v>0</v>
      </c>
      <c r="AC101" s="7">
        <f t="shared" ref="AC101:AD101" si="145">AC100</f>
        <v>76.95714286</v>
      </c>
      <c r="AD101" s="8">
        <f t="shared" si="145"/>
        <v>77</v>
      </c>
      <c r="AE101" s="8">
        <f>IF($AE$9=0,0,(AE100+AE102)/2)</f>
        <v>77</v>
      </c>
      <c r="AF101" s="7" t="str">
        <f t="shared" si="16"/>
        <v/>
      </c>
      <c r="AG101" s="7" t="str">
        <f t="shared" ref="AG101:AL101" si="146">IF(E101="",AF101,E101)</f>
        <v/>
      </c>
      <c r="AH101" s="7" t="str">
        <f t="shared" si="146"/>
        <v/>
      </c>
      <c r="AI101" s="7" t="str">
        <f t="shared" si="146"/>
        <v/>
      </c>
      <c r="AJ101" s="7" t="str">
        <f t="shared" si="146"/>
        <v/>
      </c>
      <c r="AK101" s="7" t="str">
        <f t="shared" si="146"/>
        <v/>
      </c>
      <c r="AL101" s="7" t="str">
        <f t="shared" si="146"/>
        <v/>
      </c>
      <c r="AM101" s="97" t="str">
        <f t="shared" si="10"/>
        <v/>
      </c>
      <c r="AN101" s="37"/>
      <c r="AO101" s="37"/>
      <c r="AP101" s="8"/>
      <c r="AQ101" s="8"/>
      <c r="AR101" s="8"/>
      <c r="AS101" s="8"/>
      <c r="AT101" s="8"/>
      <c r="AU101" s="8"/>
      <c r="AV101" s="8"/>
      <c r="AW101" s="8"/>
      <c r="AX101" s="8"/>
    </row>
    <row r="102" ht="15.75" customHeight="1">
      <c r="A102" s="16"/>
      <c r="B102" s="98">
        <f>IF(B100="","",B100+7)</f>
        <v>46298</v>
      </c>
      <c r="C102" s="142" t="str">
        <f t="shared" si="14"/>
        <v>Weight</v>
      </c>
      <c r="D102" s="158"/>
      <c r="E102" s="159"/>
      <c r="F102" s="159"/>
      <c r="G102" s="159"/>
      <c r="H102" s="159"/>
      <c r="I102" s="159"/>
      <c r="J102" s="160"/>
      <c r="K102" s="100" t="str">
        <f t="shared" si="6"/>
        <v/>
      </c>
      <c r="L102" s="101" t="str">
        <f>IF(K102="","",AN102)</f>
        <v/>
      </c>
      <c r="M102" s="102" t="str">
        <f>IF(AM102="", "", MROUND(BB102, 10))</f>
        <v/>
      </c>
      <c r="N102" s="149"/>
      <c r="O102" s="103" t="str">
        <f>IF(M106="","","From")</f>
        <v/>
      </c>
      <c r="P102" s="104"/>
      <c r="Q102" s="105" t="str">
        <f>IF(M106="","",B100)</f>
        <v/>
      </c>
      <c r="R102" s="104"/>
      <c r="S102" s="104"/>
      <c r="T102" s="106" t="str">
        <f>IF(M106="","","to")</f>
        <v/>
      </c>
      <c r="U102" s="107" t="str">
        <f>IF(M106="","",B106)</f>
        <v/>
      </c>
      <c r="V102" s="104"/>
      <c r="W102" s="104"/>
      <c r="X102" s="108"/>
      <c r="Y102" s="109"/>
      <c r="Z102" s="80"/>
      <c r="AA102" s="81">
        <f>AA100+1</f>
        <v>46</v>
      </c>
      <c r="AB102" s="8">
        <f t="shared" si="7"/>
        <v>0</v>
      </c>
      <c r="AC102" s="7">
        <f t="shared" ref="AC102:AD102" si="147">AC101</f>
        <v>76.95714286</v>
      </c>
      <c r="AD102" s="8">
        <f t="shared" si="147"/>
        <v>77</v>
      </c>
      <c r="AE102" s="8">
        <f>IF($F$6&gt;$F$7,IF(AE100&gt;AD102,AE100+$AE$9,AD102),IF($F$6&lt;$F$7,IF(AE100&lt;AD102,AE100+$AE$9,AD102),AD102))</f>
        <v>77</v>
      </c>
      <c r="AF102" s="7" t="str">
        <f t="shared" si="16"/>
        <v/>
      </c>
      <c r="AG102" s="7" t="str">
        <f t="shared" ref="AG102:AL102" si="148">IF(E102="",AF102,E102)</f>
        <v/>
      </c>
      <c r="AH102" s="7" t="str">
        <f t="shared" si="148"/>
        <v/>
      </c>
      <c r="AI102" s="7" t="str">
        <f t="shared" si="148"/>
        <v/>
      </c>
      <c r="AJ102" s="7" t="str">
        <f t="shared" si="148"/>
        <v/>
      </c>
      <c r="AK102" s="7" t="str">
        <f t="shared" si="148"/>
        <v/>
      </c>
      <c r="AL102" s="7" t="str">
        <f t="shared" si="148"/>
        <v/>
      </c>
      <c r="AM102" s="82" t="str">
        <f t="shared" si="10"/>
        <v/>
      </c>
      <c r="AN102" s="83" t="str">
        <f>IF(AM102="","",AM102-AM100)</f>
        <v/>
      </c>
      <c r="AO102" s="84" t="str">
        <f>IF(AP102="","",IF(AN102="","",MROUND(AP102,5)))</f>
        <v/>
      </c>
      <c r="AP102" s="85">
        <f>IF(AB103=0,$AP100,IF(AB102=0,$AP100,((K103+(((-L102)*$AQ$7)/AB103)))+M100+M98+M96+M94+M92)/6)</f>
        <v>3004.379929</v>
      </c>
      <c r="AQ102" s="8"/>
      <c r="AR102" s="8"/>
      <c r="AS102" s="8"/>
      <c r="AT102" s="8"/>
      <c r="AU102" s="8"/>
      <c r="AV102" s="8"/>
      <c r="AW102" s="8"/>
      <c r="AX102" s="8"/>
      <c r="BA102" s="88">
        <f>IF(AM102="", BA100, (AM102*0.3) + (BA100*0.7))</f>
        <v>78.72274376</v>
      </c>
      <c r="BB102" s="88">
        <f>IF(AP102="", BB100, (AP102*0.3) + (BB100*0.7))</f>
        <v>3004.379749</v>
      </c>
      <c r="BC102" s="88">
        <f>IF(BB102="","", BB102*0.8)</f>
        <v>2403.503799</v>
      </c>
    </row>
    <row r="103" ht="15.75" customHeight="1">
      <c r="A103" s="16"/>
      <c r="B103" s="110"/>
      <c r="C103" s="146" t="str">
        <f t="shared" si="14"/>
        <v>Cal.</v>
      </c>
      <c r="D103" s="158"/>
      <c r="E103" s="159"/>
      <c r="F103" s="159"/>
      <c r="G103" s="159"/>
      <c r="H103" s="159"/>
      <c r="I103" s="159"/>
      <c r="J103" s="160"/>
      <c r="K103" s="94" t="str">
        <f t="shared" si="6"/>
        <v/>
      </c>
      <c r="L103" s="95"/>
      <c r="M103" s="96"/>
      <c r="N103" s="149"/>
      <c r="O103" s="112"/>
      <c r="Q103" s="36"/>
      <c r="T103" s="37"/>
      <c r="U103" s="36"/>
      <c r="X103" s="113"/>
      <c r="Y103" s="109"/>
      <c r="Z103" s="80"/>
      <c r="AA103" s="81">
        <f>AA102+0.5</f>
        <v>46.5</v>
      </c>
      <c r="AB103" s="8">
        <f t="shared" si="7"/>
        <v>0</v>
      </c>
      <c r="AC103" s="7">
        <f t="shared" ref="AC103:AD103" si="149">AC102</f>
        <v>76.95714286</v>
      </c>
      <c r="AD103" s="8">
        <f t="shared" si="149"/>
        <v>77</v>
      </c>
      <c r="AE103" s="8">
        <f>IF($AE$9=0,0,(AE102+AE104)/2)</f>
        <v>77</v>
      </c>
      <c r="AF103" s="7" t="str">
        <f t="shared" si="16"/>
        <v/>
      </c>
      <c r="AG103" s="7" t="str">
        <f t="shared" ref="AG103:AL103" si="150">IF(E103="",AF103,E103)</f>
        <v/>
      </c>
      <c r="AH103" s="7" t="str">
        <f t="shared" si="150"/>
        <v/>
      </c>
      <c r="AI103" s="7" t="str">
        <f t="shared" si="150"/>
        <v/>
      </c>
      <c r="AJ103" s="7" t="str">
        <f t="shared" si="150"/>
        <v/>
      </c>
      <c r="AK103" s="7" t="str">
        <f t="shared" si="150"/>
        <v/>
      </c>
      <c r="AL103" s="7" t="str">
        <f t="shared" si="150"/>
        <v/>
      </c>
      <c r="AM103" s="97" t="str">
        <f t="shared" si="10"/>
        <v/>
      </c>
      <c r="AN103" s="37"/>
      <c r="AO103" s="37"/>
      <c r="AP103" s="8"/>
      <c r="AQ103" s="8"/>
      <c r="AR103" s="8"/>
      <c r="AS103" s="8"/>
      <c r="AT103" s="8"/>
      <c r="AU103" s="8"/>
      <c r="AV103" s="8"/>
      <c r="AW103" s="8"/>
      <c r="AX103" s="8"/>
    </row>
    <row r="104" ht="15.75" customHeight="1">
      <c r="A104" s="16"/>
      <c r="B104" s="98">
        <f>IF(B102="","",B102+7)</f>
        <v>46305</v>
      </c>
      <c r="C104" s="142" t="str">
        <f t="shared" si="14"/>
        <v>Weight</v>
      </c>
      <c r="D104" s="158"/>
      <c r="E104" s="159"/>
      <c r="F104" s="159"/>
      <c r="G104" s="159"/>
      <c r="H104" s="159"/>
      <c r="I104" s="159"/>
      <c r="J104" s="160"/>
      <c r="K104" s="100" t="str">
        <f t="shared" si="6"/>
        <v/>
      </c>
      <c r="L104" s="101" t="str">
        <f>IF(K104="","",AN104)</f>
        <v/>
      </c>
      <c r="M104" s="102" t="str">
        <f>IF(AM104="", "", MROUND(BB104, 10))</f>
        <v/>
      </c>
      <c r="N104" s="149"/>
      <c r="O104" s="114" t="str">
        <f>IF(M106="","",IF(K106=K98,"No Weight Change",IF(K106&gt;K98,"You Gained:","You Lost:")))</f>
        <v/>
      </c>
      <c r="P104" s="14"/>
      <c r="Q104" s="14"/>
      <c r="R104" s="14"/>
      <c r="S104" s="14"/>
      <c r="T104" s="14"/>
      <c r="U104" s="115" t="str">
        <f>IF(M106="","",IF(K106=K98,"",IF(K106&gt;K98,K106-K98,K98-K106)))</f>
        <v/>
      </c>
      <c r="V104" s="116" t="str">
        <f>IF(O104="","",IF(O104="No Weight Change","",IF($F$4="Lb","Lb",IF($F$4="Kg","Kg",""))))</f>
        <v/>
      </c>
      <c r="W104" s="14"/>
      <c r="X104" s="117"/>
      <c r="Y104" s="109"/>
      <c r="Z104" s="80"/>
      <c r="AA104" s="81">
        <f>AA102+1</f>
        <v>47</v>
      </c>
      <c r="AB104" s="8">
        <f t="shared" si="7"/>
        <v>0</v>
      </c>
      <c r="AC104" s="7">
        <f>IF(K104="",AC102,K104)</f>
        <v>76.95714286</v>
      </c>
      <c r="AD104" s="8">
        <f>AD103</f>
        <v>77</v>
      </c>
      <c r="AE104" s="8">
        <f>IF($F$6&gt;$F$7,IF(AE102&gt;AD104,AE102+$AE$9,AD104),IF($F$6&lt;$F$7,IF(AE102&lt;AD104,AE102+$AE$9,AD104),AD104))</f>
        <v>77</v>
      </c>
      <c r="AF104" s="7" t="str">
        <f t="shared" si="16"/>
        <v/>
      </c>
      <c r="AG104" s="7" t="str">
        <f t="shared" ref="AG104:AL104" si="151">IF(E104="",AF104,E104)</f>
        <v/>
      </c>
      <c r="AH104" s="7" t="str">
        <f t="shared" si="151"/>
        <v/>
      </c>
      <c r="AI104" s="7" t="str">
        <f t="shared" si="151"/>
        <v/>
      </c>
      <c r="AJ104" s="7" t="str">
        <f t="shared" si="151"/>
        <v/>
      </c>
      <c r="AK104" s="7" t="str">
        <f t="shared" si="151"/>
        <v/>
      </c>
      <c r="AL104" s="7" t="str">
        <f t="shared" si="151"/>
        <v/>
      </c>
      <c r="AM104" s="82" t="str">
        <f t="shared" si="10"/>
        <v/>
      </c>
      <c r="AN104" s="83" t="str">
        <f>IF(AM104="","",AM104-AM102)</f>
        <v/>
      </c>
      <c r="AO104" s="84" t="str">
        <f>IF(AP104="","",IF(AN104="","",MROUND(AP104,5)))</f>
        <v/>
      </c>
      <c r="AP104" s="85">
        <f>IF(AB105=0,$AP102,IF(AB104=0,$AP102,((K105+(((-L104)*$AQ$7)/AB105)))+M102+M100+M98+M96+M94)/6)</f>
        <v>3004.379929</v>
      </c>
      <c r="AQ104" s="8"/>
      <c r="AR104" s="8"/>
      <c r="AS104" s="8"/>
      <c r="AT104" s="8"/>
      <c r="AU104" s="8"/>
      <c r="AV104" s="8"/>
      <c r="AW104" s="8"/>
      <c r="AX104" s="8"/>
      <c r="BA104" s="88">
        <f>IF(AM104="", BA102, (AM104*0.3) + (BA102*0.7))</f>
        <v>78.72274376</v>
      </c>
      <c r="BB104" s="88">
        <f>IF(AP104="", BB102, (AP104*0.3) + (BB102*0.7))</f>
        <v>3004.379803</v>
      </c>
      <c r="BC104" s="88">
        <f>IF(BB104="","", BB104*0.8)</f>
        <v>2403.503842</v>
      </c>
    </row>
    <row r="105" ht="15.75" customHeight="1">
      <c r="A105" s="16"/>
      <c r="B105" s="110"/>
      <c r="C105" s="146" t="str">
        <f t="shared" si="14"/>
        <v>Cal.</v>
      </c>
      <c r="D105" s="158"/>
      <c r="E105" s="159"/>
      <c r="F105" s="159"/>
      <c r="G105" s="159"/>
      <c r="H105" s="159"/>
      <c r="I105" s="159"/>
      <c r="J105" s="160"/>
      <c r="K105" s="94" t="str">
        <f t="shared" si="6"/>
        <v/>
      </c>
      <c r="L105" s="95"/>
      <c r="M105" s="96"/>
      <c r="N105" s="149"/>
      <c r="O105" s="118" t="str">
        <f>IF(M106="","",IF(K106=K98,"","At a Rate Of"))</f>
        <v/>
      </c>
      <c r="P105" s="14"/>
      <c r="Q105" s="14"/>
      <c r="R105" s="14"/>
      <c r="S105" s="14"/>
      <c r="T105" s="119" t="str">
        <f>IF(O105="","",U104/4)</f>
        <v/>
      </c>
      <c r="U105" s="14"/>
      <c r="V105" s="120" t="str">
        <f>IF(O104="","",IF(O104="No Weight Change","",IF($F$4="Lb","Lb/Wk",IF($F$4="Kg","Kg/Wk",""))))</f>
        <v/>
      </c>
      <c r="W105" s="14"/>
      <c r="X105" s="117"/>
      <c r="Y105" s="109"/>
      <c r="Z105" s="80"/>
      <c r="AA105" s="81">
        <f>AA104+0.5</f>
        <v>47.5</v>
      </c>
      <c r="AB105" s="8">
        <f t="shared" si="7"/>
        <v>0</v>
      </c>
      <c r="AC105" s="7">
        <f t="shared" ref="AC105:AD105" si="152">AC104</f>
        <v>76.95714286</v>
      </c>
      <c r="AD105" s="8">
        <f t="shared" si="152"/>
        <v>77</v>
      </c>
      <c r="AE105" s="8">
        <f>IF($AE$9=0,0,(AE104+AE106)/2)</f>
        <v>77</v>
      </c>
      <c r="AF105" s="7" t="str">
        <f t="shared" si="16"/>
        <v/>
      </c>
      <c r="AG105" s="7" t="str">
        <f t="shared" ref="AG105:AL105" si="153">IF(E105="",AF105,E105)</f>
        <v/>
      </c>
      <c r="AH105" s="7" t="str">
        <f t="shared" si="153"/>
        <v/>
      </c>
      <c r="AI105" s="7" t="str">
        <f t="shared" si="153"/>
        <v/>
      </c>
      <c r="AJ105" s="7" t="str">
        <f t="shared" si="153"/>
        <v/>
      </c>
      <c r="AK105" s="7" t="str">
        <f t="shared" si="153"/>
        <v/>
      </c>
      <c r="AL105" s="7" t="str">
        <f t="shared" si="153"/>
        <v/>
      </c>
      <c r="AM105" s="97" t="str">
        <f t="shared" si="10"/>
        <v/>
      </c>
      <c r="AN105" s="37"/>
      <c r="AO105" s="37"/>
      <c r="AP105" s="8"/>
      <c r="AQ105" s="8"/>
      <c r="AR105" s="8"/>
      <c r="AS105" s="8"/>
      <c r="AT105" s="8"/>
      <c r="AU105" s="8"/>
      <c r="AV105" s="8"/>
      <c r="AW105" s="8"/>
      <c r="AX105" s="8"/>
    </row>
    <row r="106" ht="15.75" customHeight="1">
      <c r="A106" s="16"/>
      <c r="B106" s="98">
        <f>IF(B104="","",B104+7)</f>
        <v>46312</v>
      </c>
      <c r="C106" s="142" t="str">
        <f t="shared" si="14"/>
        <v>Weight</v>
      </c>
      <c r="D106" s="158"/>
      <c r="E106" s="159"/>
      <c r="F106" s="159"/>
      <c r="G106" s="159"/>
      <c r="H106" s="159"/>
      <c r="I106" s="159"/>
      <c r="J106" s="160"/>
      <c r="K106" s="100" t="str">
        <f t="shared" si="6"/>
        <v/>
      </c>
      <c r="L106" s="101" t="str">
        <f>IF(K106="","",AN106)</f>
        <v/>
      </c>
      <c r="M106" s="102" t="str">
        <f>IF(AM106="", "", MROUND(BB106, 10))</f>
        <v/>
      </c>
      <c r="N106" s="149"/>
      <c r="O106" s="121" t="str">
        <f>IF(T105="","","You have")</f>
        <v/>
      </c>
      <c r="P106" s="26"/>
      <c r="Q106" s="26"/>
      <c r="R106" s="26"/>
      <c r="S106" s="122" t="str">
        <f>IF(T105="","",IF(K106&gt;F95,K106-F95,F95-K106))</f>
        <v/>
      </c>
      <c r="T106" s="123" t="str">
        <f>IF(T105="","",IF(T105="No Weight Change","",IF(F92="Lb","Lb to go!",IF(F92="Kg","Kg to go!",""))))</f>
        <v/>
      </c>
      <c r="U106" s="26"/>
      <c r="V106" s="26"/>
      <c r="W106" s="26"/>
      <c r="X106" s="124"/>
      <c r="Y106" s="109"/>
      <c r="Z106" s="80"/>
      <c r="AA106" s="81">
        <f>AA104+1</f>
        <v>48</v>
      </c>
      <c r="AB106" s="8">
        <f t="shared" si="7"/>
        <v>0</v>
      </c>
      <c r="AC106" s="7">
        <f>IF(K106="",AC104,K106)</f>
        <v>76.95714286</v>
      </c>
      <c r="AD106" s="8">
        <f>AD105</f>
        <v>77</v>
      </c>
      <c r="AE106" s="8">
        <f>IF($F$6&gt;$F$7,IF(AE104&gt;AD106,AE104+$AE$9,AD106),IF($F$6&lt;$F$7,IF(AE104&lt;AD106,AE104+$AE$9,AD106),AD106))</f>
        <v>77</v>
      </c>
      <c r="AF106" s="7" t="str">
        <f t="shared" si="16"/>
        <v/>
      </c>
      <c r="AG106" s="7" t="str">
        <f t="shared" ref="AG106:AL106" si="154">IF(E106="",AF106,E106)</f>
        <v/>
      </c>
      <c r="AH106" s="7" t="str">
        <f t="shared" si="154"/>
        <v/>
      </c>
      <c r="AI106" s="7" t="str">
        <f t="shared" si="154"/>
        <v/>
      </c>
      <c r="AJ106" s="7" t="str">
        <f t="shared" si="154"/>
        <v/>
      </c>
      <c r="AK106" s="7" t="str">
        <f t="shared" si="154"/>
        <v/>
      </c>
      <c r="AL106" s="7" t="str">
        <f t="shared" si="154"/>
        <v/>
      </c>
      <c r="AM106" s="82" t="str">
        <f t="shared" si="10"/>
        <v/>
      </c>
      <c r="AN106" s="83" t="str">
        <f>IF(AM106="","",AM106-AM104)</f>
        <v/>
      </c>
      <c r="AO106" s="84" t="str">
        <f>IF(AP106="","",IF(AN106="","",MROUND(AP106,5)))</f>
        <v/>
      </c>
      <c r="AP106" s="85">
        <f>IF(AB107=0,$AP104,IF(AB106=0,$AP104,((K107+(((-L106)*$AQ$7)/AB107)))+M104+M102+M100+M98+M96)/6)</f>
        <v>3004.379929</v>
      </c>
      <c r="AQ106" s="8"/>
      <c r="AR106" s="8"/>
      <c r="AS106" s="8"/>
      <c r="AT106" s="8"/>
      <c r="AU106" s="8"/>
      <c r="AV106" s="8"/>
      <c r="AW106" s="8"/>
      <c r="AX106" s="8"/>
      <c r="BA106" s="88">
        <f>IF(AM106="", BA104, (AM106*0.3) + (BA104*0.7))</f>
        <v>78.72274376</v>
      </c>
      <c r="BB106" s="88">
        <f>IF(AP106="", BB104, (AP106*0.3) + (BB104*0.7))</f>
        <v>3004.379841</v>
      </c>
      <c r="BC106" s="88">
        <f>IF(BB106="","", BB106*0.8)</f>
        <v>2403.503872</v>
      </c>
    </row>
    <row r="107" ht="15.75" customHeight="1">
      <c r="A107" s="16"/>
      <c r="B107" s="150"/>
      <c r="C107" s="151" t="str">
        <f t="shared" si="14"/>
        <v>Cal.</v>
      </c>
      <c r="D107" s="162"/>
      <c r="E107" s="163"/>
      <c r="F107" s="163"/>
      <c r="G107" s="163"/>
      <c r="H107" s="163"/>
      <c r="I107" s="163"/>
      <c r="J107" s="164"/>
      <c r="K107" s="125" t="str">
        <f t="shared" si="6"/>
        <v/>
      </c>
      <c r="L107" s="126"/>
      <c r="M107" s="127"/>
      <c r="N107" s="149"/>
      <c r="O107" s="128"/>
      <c r="P107" s="129"/>
      <c r="Q107" s="129"/>
      <c r="R107" s="129"/>
      <c r="S107" s="126"/>
      <c r="T107" s="130"/>
      <c r="U107" s="129"/>
      <c r="V107" s="129"/>
      <c r="W107" s="129"/>
      <c r="X107" s="131"/>
      <c r="Y107" s="109"/>
      <c r="Z107" s="80"/>
      <c r="AA107" s="81">
        <f>AA106+0.5</f>
        <v>48.5</v>
      </c>
      <c r="AB107" s="8">
        <f t="shared" si="7"/>
        <v>0</v>
      </c>
      <c r="AC107" s="7">
        <f t="shared" ref="AC107:AD107" si="155">AC106</f>
        <v>76.95714286</v>
      </c>
      <c r="AD107" s="8">
        <f t="shared" si="155"/>
        <v>77</v>
      </c>
      <c r="AE107" s="8">
        <f>IF($AE$9=0,0,(AE106+AE108)/2)</f>
        <v>77</v>
      </c>
      <c r="AF107" s="7" t="str">
        <f t="shared" si="16"/>
        <v/>
      </c>
      <c r="AG107" s="7" t="str">
        <f t="shared" ref="AG107:AL107" si="156">IF(E107="",AF107,E107)</f>
        <v/>
      </c>
      <c r="AH107" s="7" t="str">
        <f t="shared" si="156"/>
        <v/>
      </c>
      <c r="AI107" s="7" t="str">
        <f t="shared" si="156"/>
        <v/>
      </c>
      <c r="AJ107" s="7" t="str">
        <f t="shared" si="156"/>
        <v/>
      </c>
      <c r="AK107" s="7" t="str">
        <f t="shared" si="156"/>
        <v/>
      </c>
      <c r="AL107" s="7" t="str">
        <f t="shared" si="156"/>
        <v/>
      </c>
      <c r="AM107" s="97" t="str">
        <f t="shared" si="10"/>
        <v/>
      </c>
      <c r="AN107" s="37"/>
      <c r="AO107" s="37"/>
      <c r="AP107" s="8"/>
      <c r="AQ107" s="8"/>
      <c r="AR107" s="8"/>
      <c r="AS107" s="8"/>
      <c r="AT107" s="8"/>
      <c r="AU107" s="8"/>
      <c r="AV107" s="8"/>
      <c r="AW107" s="8"/>
      <c r="AX107" s="8"/>
    </row>
    <row r="108" ht="15.75" customHeight="1">
      <c r="A108" s="16"/>
      <c r="B108" s="72">
        <f>IF(B106="","",B106+7)</f>
        <v>46319</v>
      </c>
      <c r="C108" s="70" t="str">
        <f t="shared" si="14"/>
        <v>Weight</v>
      </c>
      <c r="D108" s="155"/>
      <c r="E108" s="156"/>
      <c r="F108" s="156"/>
      <c r="G108" s="156"/>
      <c r="H108" s="156"/>
      <c r="I108" s="156"/>
      <c r="J108" s="157"/>
      <c r="K108" s="76" t="str">
        <f t="shared" si="6"/>
        <v/>
      </c>
      <c r="L108" s="77" t="str">
        <f>IF(K108="","",AN108)</f>
        <v/>
      </c>
      <c r="M108" s="78" t="str">
        <f>IF(AM108="", "", MROUND(BB108, 10))</f>
        <v/>
      </c>
      <c r="N108" s="149"/>
      <c r="O108" s="79"/>
      <c r="P108" s="79"/>
      <c r="Q108" s="79"/>
      <c r="R108" s="79"/>
      <c r="S108" s="50"/>
      <c r="T108" s="79"/>
      <c r="U108" s="50"/>
      <c r="V108" s="79"/>
      <c r="W108" s="79"/>
      <c r="X108" s="79"/>
      <c r="Y108" s="80"/>
      <c r="Z108" s="80"/>
      <c r="AA108" s="81">
        <f>AA106+1</f>
        <v>49</v>
      </c>
      <c r="AB108" s="8">
        <f t="shared" si="7"/>
        <v>0</v>
      </c>
      <c r="AC108" s="7">
        <f>IF(K108="",AC106,K108)</f>
        <v>76.95714286</v>
      </c>
      <c r="AD108" s="8">
        <f>AD107</f>
        <v>77</v>
      </c>
      <c r="AE108" s="8">
        <f>IF($F$6&gt;$F$7,IF(AE106&gt;AD108,AE106+$AE$9,AD108),IF($F$6&lt;$F$7,IF(AE106&lt;AD108,AE106+$AE$9,AD108),AD108))</f>
        <v>77</v>
      </c>
      <c r="AF108" s="7" t="str">
        <f t="shared" si="16"/>
        <v/>
      </c>
      <c r="AG108" s="7" t="str">
        <f t="shared" ref="AG108:AL108" si="157">IF(E108="",AF108,E108)</f>
        <v/>
      </c>
      <c r="AH108" s="7" t="str">
        <f t="shared" si="157"/>
        <v/>
      </c>
      <c r="AI108" s="7" t="str">
        <f t="shared" si="157"/>
        <v/>
      </c>
      <c r="AJ108" s="7" t="str">
        <f t="shared" si="157"/>
        <v/>
      </c>
      <c r="AK108" s="7" t="str">
        <f t="shared" si="157"/>
        <v/>
      </c>
      <c r="AL108" s="7" t="str">
        <f t="shared" si="157"/>
        <v/>
      </c>
      <c r="AM108" s="82" t="str">
        <f t="shared" si="10"/>
        <v/>
      </c>
      <c r="AN108" s="83" t="str">
        <f>IF(AM108="","",AM108-AM106)</f>
        <v/>
      </c>
      <c r="AO108" s="84" t="str">
        <f>IF(AP108="","",IF(AN108="","",MROUND(AP108,5)))</f>
        <v/>
      </c>
      <c r="AP108" s="85">
        <f>IF(AB109=0,$AP106,IF(AB108=0,$AP106,((K109+(((-L108)*$AQ$7)/AB109)))+M106+M104+M102+M100+M98)/6)</f>
        <v>3004.379929</v>
      </c>
      <c r="AQ108" s="8"/>
      <c r="AR108" s="8"/>
      <c r="AS108" s="8"/>
      <c r="AT108" s="8"/>
      <c r="AU108" s="8"/>
      <c r="AV108" s="8"/>
      <c r="AW108" s="8"/>
      <c r="AX108" s="8"/>
      <c r="BA108" s="88">
        <f>IF(AM108="", BA106, (AM108*0.3) + (BA106*0.7))</f>
        <v>78.72274376</v>
      </c>
      <c r="BB108" s="88">
        <f>IF(AP108="", BB106, (AP108*0.3) + (BB106*0.7))</f>
        <v>3004.379867</v>
      </c>
      <c r="BC108" s="88">
        <f>IF(BB108="","", BB108*0.8)</f>
        <v>2403.503894</v>
      </c>
    </row>
    <row r="109" ht="15.75" customHeight="1">
      <c r="A109" s="16"/>
      <c r="B109" s="110"/>
      <c r="C109" s="137" t="str">
        <f t="shared" si="14"/>
        <v>Cal.</v>
      </c>
      <c r="D109" s="158"/>
      <c r="E109" s="159"/>
      <c r="F109" s="159"/>
      <c r="G109" s="159"/>
      <c r="H109" s="159"/>
      <c r="I109" s="159"/>
      <c r="J109" s="160"/>
      <c r="K109" s="94" t="str">
        <f t="shared" si="6"/>
        <v/>
      </c>
      <c r="L109" s="95"/>
      <c r="M109" s="96"/>
      <c r="N109" s="149"/>
      <c r="O109" s="79"/>
      <c r="P109" s="79"/>
      <c r="Q109" s="79"/>
      <c r="R109" s="79"/>
      <c r="S109" s="50"/>
      <c r="T109" s="79"/>
      <c r="U109" s="50"/>
      <c r="V109" s="79"/>
      <c r="W109" s="79"/>
      <c r="X109" s="79"/>
      <c r="Y109" s="80"/>
      <c r="Z109" s="80"/>
      <c r="AA109" s="81">
        <f>AA108+0.5</f>
        <v>49.5</v>
      </c>
      <c r="AB109" s="8">
        <f t="shared" si="7"/>
        <v>0</v>
      </c>
      <c r="AC109" s="7">
        <f t="shared" ref="AC109:AD109" si="158">AC108</f>
        <v>76.95714286</v>
      </c>
      <c r="AD109" s="8">
        <f t="shared" si="158"/>
        <v>77</v>
      </c>
      <c r="AE109" s="8">
        <f>IF($AE$9=0,0,(AE108+AE110)/2)</f>
        <v>77</v>
      </c>
      <c r="AF109" s="7" t="str">
        <f t="shared" si="16"/>
        <v/>
      </c>
      <c r="AG109" s="7" t="str">
        <f t="shared" ref="AG109:AL109" si="159">IF(E109="",AF109,E109)</f>
        <v/>
      </c>
      <c r="AH109" s="7" t="str">
        <f t="shared" si="159"/>
        <v/>
      </c>
      <c r="AI109" s="7" t="str">
        <f t="shared" si="159"/>
        <v/>
      </c>
      <c r="AJ109" s="7" t="str">
        <f t="shared" si="159"/>
        <v/>
      </c>
      <c r="AK109" s="7" t="str">
        <f t="shared" si="159"/>
        <v/>
      </c>
      <c r="AL109" s="7" t="str">
        <f t="shared" si="159"/>
        <v/>
      </c>
      <c r="AM109" s="97" t="str">
        <f t="shared" si="10"/>
        <v/>
      </c>
      <c r="AN109" s="37"/>
      <c r="AO109" s="37"/>
      <c r="AP109" s="8"/>
      <c r="AQ109" s="8"/>
      <c r="AR109" s="8"/>
      <c r="AS109" s="8"/>
      <c r="AT109" s="8"/>
      <c r="AU109" s="8"/>
      <c r="AV109" s="8"/>
      <c r="AW109" s="8"/>
      <c r="AX109" s="8"/>
    </row>
    <row r="110" ht="15.75" customHeight="1">
      <c r="A110" s="16"/>
      <c r="B110" s="98">
        <f>IF(B108="","",B108+7)</f>
        <v>46326</v>
      </c>
      <c r="C110" s="142" t="str">
        <f t="shared" si="14"/>
        <v>Weight</v>
      </c>
      <c r="D110" s="158"/>
      <c r="E110" s="159"/>
      <c r="F110" s="159"/>
      <c r="G110" s="159"/>
      <c r="H110" s="159"/>
      <c r="I110" s="159"/>
      <c r="J110" s="160"/>
      <c r="K110" s="100" t="str">
        <f t="shared" si="6"/>
        <v/>
      </c>
      <c r="L110" s="101" t="str">
        <f>IF(K110="","",AN110)</f>
        <v/>
      </c>
      <c r="M110" s="102" t="str">
        <f>IF(AM110="", "", MROUND(BB110, 10))</f>
        <v/>
      </c>
      <c r="N110" s="149"/>
      <c r="O110" s="103" t="str">
        <f>IF(M114="","","From")</f>
        <v/>
      </c>
      <c r="P110" s="104"/>
      <c r="Q110" s="105" t="str">
        <f>IF(M114="","",B108)</f>
        <v/>
      </c>
      <c r="R110" s="104"/>
      <c r="S110" s="104"/>
      <c r="T110" s="106" t="str">
        <f>IF(M114="","","to")</f>
        <v/>
      </c>
      <c r="U110" s="107" t="str">
        <f>IF(M114="","",B114)</f>
        <v/>
      </c>
      <c r="V110" s="104"/>
      <c r="W110" s="104"/>
      <c r="X110" s="108"/>
      <c r="Y110" s="109"/>
      <c r="Z110" s="80"/>
      <c r="AA110" s="81">
        <f>AA108+1</f>
        <v>50</v>
      </c>
      <c r="AB110" s="8">
        <f t="shared" si="7"/>
        <v>0</v>
      </c>
      <c r="AC110" s="7">
        <f>IF(K110="",AC108,K110)</f>
        <v>76.95714286</v>
      </c>
      <c r="AD110" s="8">
        <f>AD109</f>
        <v>77</v>
      </c>
      <c r="AE110" s="8">
        <f>IF($F$6&gt;$F$7,IF(AE108&gt;AD110,AE108+$AE$9,AD110),IF($F$6&lt;$F$7,IF(AE108&lt;AD110,AE108+$AE$9,AD110),AD110))</f>
        <v>77</v>
      </c>
      <c r="AF110" s="7" t="str">
        <f t="shared" si="16"/>
        <v/>
      </c>
      <c r="AG110" s="7" t="str">
        <f t="shared" ref="AG110:AL110" si="160">IF(E110="",AF110,E110)</f>
        <v/>
      </c>
      <c r="AH110" s="7" t="str">
        <f t="shared" si="160"/>
        <v/>
      </c>
      <c r="AI110" s="7" t="str">
        <f t="shared" si="160"/>
        <v/>
      </c>
      <c r="AJ110" s="7" t="str">
        <f t="shared" si="160"/>
        <v/>
      </c>
      <c r="AK110" s="7" t="str">
        <f t="shared" si="160"/>
        <v/>
      </c>
      <c r="AL110" s="7" t="str">
        <f t="shared" si="160"/>
        <v/>
      </c>
      <c r="AM110" s="82" t="str">
        <f t="shared" si="10"/>
        <v/>
      </c>
      <c r="AN110" s="83" t="str">
        <f>IF(AM110="","",AM110-AM108)</f>
        <v/>
      </c>
      <c r="AO110" s="84" t="str">
        <f>IF(AP110="","",IF(AN110="","",MROUND(AP110,5)))</f>
        <v/>
      </c>
      <c r="AP110" s="85">
        <f>IF(AB111=0,$AP108,IF(AB110=0,$AP108,((K111+(((-L110)*$AQ$7)/AB111)))+M108+M106+M104+M102+M100)/6)</f>
        <v>3004.379929</v>
      </c>
      <c r="AQ110" s="8"/>
      <c r="AR110" s="8"/>
      <c r="AS110" s="8"/>
      <c r="AT110" s="8"/>
      <c r="AU110" s="8"/>
      <c r="AV110" s="8"/>
      <c r="AW110" s="8"/>
      <c r="AX110" s="8"/>
      <c r="BA110" s="88">
        <f>IF(AM110="", BA108, (AM110*0.3) + (BA108*0.7))</f>
        <v>78.72274376</v>
      </c>
      <c r="BB110" s="88">
        <f>IF(AP110="", BB108, (AP110*0.3) + (BB108*0.7))</f>
        <v>3004.379885</v>
      </c>
      <c r="BC110" s="88">
        <f>IF(BB110="","", BB110*0.8)</f>
        <v>2403.503908</v>
      </c>
    </row>
    <row r="111" ht="15.75" customHeight="1">
      <c r="A111" s="16"/>
      <c r="B111" s="110"/>
      <c r="C111" s="146" t="str">
        <f t="shared" si="14"/>
        <v>Cal.</v>
      </c>
      <c r="D111" s="158"/>
      <c r="E111" s="159"/>
      <c r="F111" s="159"/>
      <c r="G111" s="159"/>
      <c r="H111" s="159"/>
      <c r="I111" s="159"/>
      <c r="J111" s="160"/>
      <c r="K111" s="94" t="str">
        <f t="shared" si="6"/>
        <v/>
      </c>
      <c r="L111" s="95"/>
      <c r="M111" s="96"/>
      <c r="N111" s="149"/>
      <c r="O111" s="112"/>
      <c r="Q111" s="36"/>
      <c r="T111" s="37"/>
      <c r="U111" s="36"/>
      <c r="X111" s="113"/>
      <c r="Y111" s="109"/>
      <c r="Z111" s="80"/>
      <c r="AA111" s="81">
        <f>AA110+0.5</f>
        <v>50.5</v>
      </c>
      <c r="AB111" s="8">
        <f t="shared" si="7"/>
        <v>0</v>
      </c>
      <c r="AC111" s="7">
        <f t="shared" ref="AC111:AD111" si="161">AC110</f>
        <v>76.95714286</v>
      </c>
      <c r="AD111" s="8">
        <f t="shared" si="161"/>
        <v>77</v>
      </c>
      <c r="AE111" s="8">
        <f>IF($AE$9=0,0,(AE110+AE112)/2)</f>
        <v>77</v>
      </c>
      <c r="AF111" s="7" t="str">
        <f t="shared" si="16"/>
        <v/>
      </c>
      <c r="AG111" s="7" t="str">
        <f t="shared" ref="AG111:AL111" si="162">IF(E111="",AF111,E111)</f>
        <v/>
      </c>
      <c r="AH111" s="7" t="str">
        <f t="shared" si="162"/>
        <v/>
      </c>
      <c r="AI111" s="7" t="str">
        <f t="shared" si="162"/>
        <v/>
      </c>
      <c r="AJ111" s="7" t="str">
        <f t="shared" si="162"/>
        <v/>
      </c>
      <c r="AK111" s="7" t="str">
        <f t="shared" si="162"/>
        <v/>
      </c>
      <c r="AL111" s="7" t="str">
        <f t="shared" si="162"/>
        <v/>
      </c>
      <c r="AM111" s="97" t="str">
        <f t="shared" si="10"/>
        <v/>
      </c>
      <c r="AN111" s="37"/>
      <c r="AO111" s="37"/>
      <c r="AP111" s="8"/>
      <c r="AQ111" s="8"/>
      <c r="AR111" s="8"/>
      <c r="AS111" s="8"/>
      <c r="AT111" s="8"/>
      <c r="AU111" s="8"/>
      <c r="AV111" s="8"/>
      <c r="AW111" s="8"/>
      <c r="AX111" s="8"/>
    </row>
    <row r="112" ht="15.75" customHeight="1">
      <c r="A112" s="16"/>
      <c r="B112" s="98">
        <f>IF(B110="","",B110+7)</f>
        <v>46333</v>
      </c>
      <c r="C112" s="142" t="str">
        <f t="shared" si="14"/>
        <v>Weight</v>
      </c>
      <c r="D112" s="158"/>
      <c r="E112" s="159"/>
      <c r="F112" s="159"/>
      <c r="G112" s="159"/>
      <c r="H112" s="159"/>
      <c r="I112" s="159"/>
      <c r="J112" s="160"/>
      <c r="K112" s="100" t="str">
        <f t="shared" si="6"/>
        <v/>
      </c>
      <c r="L112" s="101" t="str">
        <f>IF(K112="","",AN112)</f>
        <v/>
      </c>
      <c r="M112" s="102" t="str">
        <f>IF(AM112="", "", MROUND(BB112, 10))</f>
        <v/>
      </c>
      <c r="N112" s="149"/>
      <c r="O112" s="114" t="str">
        <f>IF(M114="","",IF(K114=K106,"No Weight Change",IF(K114&gt;K106,"You Gained:","You Lost:")))</f>
        <v/>
      </c>
      <c r="P112" s="14"/>
      <c r="Q112" s="14"/>
      <c r="R112" s="14"/>
      <c r="S112" s="14"/>
      <c r="T112" s="14"/>
      <c r="U112" s="115" t="str">
        <f>IF(M114="","",IF(K114=K106,"",IF(K114&gt;K106,K114-K106,K106-K114)))</f>
        <v/>
      </c>
      <c r="V112" s="116" t="str">
        <f>IF(O112="","",IF(O112="No Weight Change","",IF($F$4="Lb","Lb",IF($F$4="Kg","Kg",""))))</f>
        <v/>
      </c>
      <c r="W112" s="14"/>
      <c r="X112" s="117"/>
      <c r="Y112" s="109"/>
      <c r="Z112" s="80"/>
      <c r="AA112" s="81">
        <f>AA110+1</f>
        <v>51</v>
      </c>
      <c r="AB112" s="8">
        <f t="shared" si="7"/>
        <v>0</v>
      </c>
      <c r="AC112" s="7">
        <f>IF(K112="",AC110,K112)</f>
        <v>76.95714286</v>
      </c>
      <c r="AD112" s="8">
        <f>AD111</f>
        <v>77</v>
      </c>
      <c r="AE112" s="8">
        <f>IF($F$6&gt;$F$7,IF(AE110&gt;AD112,AE110+$AE$9,AD112),IF($F$6&lt;$F$7,IF(AE110&lt;AD112,AE110+$AE$9,AD112),AD112))</f>
        <v>77</v>
      </c>
      <c r="AF112" s="7" t="str">
        <f t="shared" si="16"/>
        <v/>
      </c>
      <c r="AG112" s="7" t="str">
        <f t="shared" ref="AG112:AL112" si="163">IF(E112="",AF112,E112)</f>
        <v/>
      </c>
      <c r="AH112" s="7" t="str">
        <f t="shared" si="163"/>
        <v/>
      </c>
      <c r="AI112" s="7" t="str">
        <f t="shared" si="163"/>
        <v/>
      </c>
      <c r="AJ112" s="7" t="str">
        <f t="shared" si="163"/>
        <v/>
      </c>
      <c r="AK112" s="7" t="str">
        <f t="shared" si="163"/>
        <v/>
      </c>
      <c r="AL112" s="7" t="str">
        <f t="shared" si="163"/>
        <v/>
      </c>
      <c r="AM112" s="82" t="str">
        <f t="shared" si="10"/>
        <v/>
      </c>
      <c r="AN112" s="83" t="str">
        <f>IF(AM112="","",AM112-AM110)</f>
        <v/>
      </c>
      <c r="AO112" s="84" t="str">
        <f>IF(AP112="","",IF(AN112="","",MROUND(AP112,5)))</f>
        <v/>
      </c>
      <c r="AP112" s="85">
        <f>IF(AB113=0,$AP110,IF(AB112=0,$AP110,((K113+(((-L112)*$AQ$7)/AB113)))+M110+M108+M106+M104+M102)/6)</f>
        <v>3004.379929</v>
      </c>
      <c r="AQ112" s="8"/>
      <c r="AR112" s="8"/>
      <c r="AS112" s="8"/>
      <c r="AT112" s="8"/>
      <c r="AU112" s="8"/>
      <c r="AV112" s="8"/>
      <c r="AW112" s="8"/>
      <c r="AX112" s="8"/>
      <c r="BA112" s="88">
        <f>IF(AM112="", BA110, (AM112*0.3) + (BA110*0.7))</f>
        <v>78.72274376</v>
      </c>
      <c r="BB112" s="88">
        <f>IF(AP112="", BB110, (AP112*0.3) + (BB110*0.7))</f>
        <v>3004.379898</v>
      </c>
      <c r="BC112" s="88">
        <f>IF(BB112="","", BB112*0.8)</f>
        <v>2403.503919</v>
      </c>
    </row>
    <row r="113" ht="15.75" customHeight="1">
      <c r="A113" s="16"/>
      <c r="B113" s="110"/>
      <c r="C113" s="146" t="str">
        <f t="shared" si="14"/>
        <v>Cal.</v>
      </c>
      <c r="D113" s="158"/>
      <c r="E113" s="159"/>
      <c r="F113" s="159"/>
      <c r="G113" s="159"/>
      <c r="H113" s="159"/>
      <c r="I113" s="159"/>
      <c r="J113" s="160"/>
      <c r="K113" s="94" t="str">
        <f t="shared" si="6"/>
        <v/>
      </c>
      <c r="L113" s="95"/>
      <c r="M113" s="96"/>
      <c r="N113" s="149"/>
      <c r="O113" s="118" t="str">
        <f>IF(M114="","",IF(K114=K106,"","At a Rate Of"))</f>
        <v/>
      </c>
      <c r="P113" s="14"/>
      <c r="Q113" s="14"/>
      <c r="R113" s="14"/>
      <c r="S113" s="14"/>
      <c r="T113" s="119" t="str">
        <f>IF(O113="","",U112/4)</f>
        <v/>
      </c>
      <c r="U113" s="14"/>
      <c r="V113" s="120" t="str">
        <f>IF(O112="","",IF(O112="No Weight Change","",IF($F$4="Lb","Lb/Wk",IF($F$4="Kg","Kg/Wk",""))))</f>
        <v/>
      </c>
      <c r="W113" s="14"/>
      <c r="X113" s="117"/>
      <c r="Y113" s="109"/>
      <c r="Z113" s="80"/>
      <c r="AA113" s="81">
        <f>AA112+0.5</f>
        <v>51.5</v>
      </c>
      <c r="AB113" s="8">
        <f t="shared" si="7"/>
        <v>0</v>
      </c>
      <c r="AC113" s="7">
        <f t="shared" ref="AC113:AD113" si="164">AC112</f>
        <v>76.95714286</v>
      </c>
      <c r="AD113" s="8">
        <f t="shared" si="164"/>
        <v>77</v>
      </c>
      <c r="AE113" s="8">
        <f>IF($AE$9=0,0,(AE112+AE114)/2)</f>
        <v>77</v>
      </c>
      <c r="AF113" s="7" t="str">
        <f t="shared" si="16"/>
        <v/>
      </c>
      <c r="AG113" s="7" t="str">
        <f t="shared" ref="AG113:AL113" si="165">IF(E113="",AF113,E113)</f>
        <v/>
      </c>
      <c r="AH113" s="7" t="str">
        <f t="shared" si="165"/>
        <v/>
      </c>
      <c r="AI113" s="7" t="str">
        <f t="shared" si="165"/>
        <v/>
      </c>
      <c r="AJ113" s="7" t="str">
        <f t="shared" si="165"/>
        <v/>
      </c>
      <c r="AK113" s="7" t="str">
        <f t="shared" si="165"/>
        <v/>
      </c>
      <c r="AL113" s="7" t="str">
        <f t="shared" si="165"/>
        <v/>
      </c>
      <c r="AM113" s="97" t="str">
        <f t="shared" si="10"/>
        <v/>
      </c>
      <c r="AN113" s="37"/>
      <c r="AO113" s="37"/>
      <c r="AP113" s="8"/>
      <c r="AQ113" s="8"/>
      <c r="AR113" s="8"/>
      <c r="AS113" s="8"/>
      <c r="AT113" s="8"/>
      <c r="AU113" s="8"/>
      <c r="AV113" s="8"/>
      <c r="AW113" s="8"/>
      <c r="AX113" s="8"/>
    </row>
    <row r="114" ht="15.75" customHeight="1">
      <c r="A114" s="16"/>
      <c r="B114" s="98">
        <f>IF(B112="","",B112+7)</f>
        <v>46340</v>
      </c>
      <c r="C114" s="142" t="str">
        <f t="shared" si="14"/>
        <v>Weight</v>
      </c>
      <c r="D114" s="158"/>
      <c r="E114" s="159"/>
      <c r="F114" s="159"/>
      <c r="G114" s="159"/>
      <c r="H114" s="159"/>
      <c r="I114" s="159"/>
      <c r="J114" s="160"/>
      <c r="K114" s="100" t="str">
        <f t="shared" si="6"/>
        <v/>
      </c>
      <c r="L114" s="101" t="str">
        <f>IF(K114="","",AN114)</f>
        <v/>
      </c>
      <c r="M114" s="102" t="str">
        <f>IF(AM114="", "", MROUND(BB114, 10))</f>
        <v/>
      </c>
      <c r="N114" s="149"/>
      <c r="O114" s="121" t="str">
        <f>IF(T113="","","You have")</f>
        <v/>
      </c>
      <c r="P114" s="26"/>
      <c r="Q114" s="26"/>
      <c r="R114" s="26"/>
      <c r="S114" s="122" t="str">
        <f>IF(T113="","",IF(K114&gt;F103,K114-F103,F103-K114))</f>
        <v/>
      </c>
      <c r="T114" s="123" t="str">
        <f>IF(T113="","",IF(T113="No Weight Change","",IF(F100="Lb","Lb to go!",IF(F100="Kg","Kg to go!",""))))</f>
        <v/>
      </c>
      <c r="U114" s="26"/>
      <c r="V114" s="26"/>
      <c r="W114" s="26"/>
      <c r="X114" s="124"/>
      <c r="Y114" s="109"/>
      <c r="Z114" s="80"/>
      <c r="AA114" s="81">
        <f>AA112+1</f>
        <v>52</v>
      </c>
      <c r="AB114" s="8">
        <f t="shared" si="7"/>
        <v>0</v>
      </c>
      <c r="AC114" s="7">
        <f>IF(K114="",AC112,K114)</f>
        <v>76.95714286</v>
      </c>
      <c r="AD114" s="8">
        <f>AD113</f>
        <v>77</v>
      </c>
      <c r="AE114" s="8">
        <f>IF($F$6&gt;$F$7,IF(AE112&gt;AD114,AE112+$AE$9,AD114),IF($F$6&lt;$F$7,IF(AE112&lt;AD114,AE112+$AE$9,AD114),AD114))</f>
        <v>77</v>
      </c>
      <c r="AF114" s="7" t="str">
        <f t="shared" si="16"/>
        <v/>
      </c>
      <c r="AG114" s="7" t="str">
        <f t="shared" ref="AG114:AL114" si="166">IF(E114="",AF114,E114)</f>
        <v/>
      </c>
      <c r="AH114" s="7" t="str">
        <f t="shared" si="166"/>
        <v/>
      </c>
      <c r="AI114" s="7" t="str">
        <f t="shared" si="166"/>
        <v/>
      </c>
      <c r="AJ114" s="7" t="str">
        <f t="shared" si="166"/>
        <v/>
      </c>
      <c r="AK114" s="7" t="str">
        <f t="shared" si="166"/>
        <v/>
      </c>
      <c r="AL114" s="7" t="str">
        <f t="shared" si="166"/>
        <v/>
      </c>
      <c r="AM114" s="82" t="str">
        <f t="shared" si="10"/>
        <v/>
      </c>
      <c r="AN114" s="83" t="str">
        <f>IF(AM114="","",AM114-AM112)</f>
        <v/>
      </c>
      <c r="AO114" s="84" t="str">
        <f>IF(AP114="","",IF(AN114="","",MROUND(AP114,5)))</f>
        <v/>
      </c>
      <c r="AP114" s="85">
        <f>IF(AB115=0,$AP112,IF(AB114=0,$AP112,((K115+(((-L114)*$AQ$7)/AB115)))+M112+M110+M108+M106+M104)/6)</f>
        <v>3004.379929</v>
      </c>
      <c r="AQ114" s="8"/>
      <c r="AR114" s="8"/>
      <c r="AS114" s="8"/>
      <c r="AT114" s="8"/>
      <c r="AU114" s="8"/>
      <c r="AV114" s="8"/>
      <c r="AW114" s="8"/>
      <c r="AX114" s="8"/>
      <c r="BA114" s="88">
        <f>IF(AM114="", BA112, (AM114*0.3) + (BA112*0.7))</f>
        <v>78.72274376</v>
      </c>
      <c r="BB114" s="88">
        <f>IF(AP114="", BB112, (AP114*0.3) + (BB112*0.7))</f>
        <v>3004.379907</v>
      </c>
      <c r="BC114" s="88">
        <f>IF(BB114="","", BB114*0.8)</f>
        <v>2403.503926</v>
      </c>
    </row>
    <row r="115" ht="15.75" customHeight="1">
      <c r="A115" s="16"/>
      <c r="B115" s="150"/>
      <c r="C115" s="151" t="str">
        <f t="shared" si="14"/>
        <v>Cal.</v>
      </c>
      <c r="D115" s="162"/>
      <c r="E115" s="163"/>
      <c r="F115" s="163"/>
      <c r="G115" s="163"/>
      <c r="H115" s="163"/>
      <c r="I115" s="163"/>
      <c r="J115" s="164"/>
      <c r="K115" s="125" t="str">
        <f t="shared" si="6"/>
        <v/>
      </c>
      <c r="L115" s="126"/>
      <c r="M115" s="127"/>
      <c r="N115" s="149"/>
      <c r="O115" s="128"/>
      <c r="P115" s="129"/>
      <c r="Q115" s="129"/>
      <c r="R115" s="129"/>
      <c r="S115" s="126"/>
      <c r="T115" s="130"/>
      <c r="U115" s="129"/>
      <c r="V115" s="129"/>
      <c r="W115" s="129"/>
      <c r="X115" s="131"/>
      <c r="Y115" s="109"/>
      <c r="Z115" s="80"/>
      <c r="AA115" s="81">
        <f>AA114+0.5</f>
        <v>52.5</v>
      </c>
      <c r="AB115" s="8">
        <f t="shared" si="7"/>
        <v>0</v>
      </c>
      <c r="AC115" s="7">
        <f t="shared" ref="AC115:AD115" si="167">AC114</f>
        <v>76.95714286</v>
      </c>
      <c r="AD115" s="8">
        <f t="shared" si="167"/>
        <v>77</v>
      </c>
      <c r="AE115" s="8">
        <f>IF($AE$9=0,0,(AE114+AE116)/2)</f>
        <v>77</v>
      </c>
      <c r="AF115" s="7" t="str">
        <f t="shared" si="16"/>
        <v/>
      </c>
      <c r="AG115" s="7" t="str">
        <f t="shared" ref="AG115:AL115" si="168">IF(E115="",AF115,E115)</f>
        <v/>
      </c>
      <c r="AH115" s="7" t="str">
        <f t="shared" si="168"/>
        <v/>
      </c>
      <c r="AI115" s="7" t="str">
        <f t="shared" si="168"/>
        <v/>
      </c>
      <c r="AJ115" s="7" t="str">
        <f t="shared" si="168"/>
        <v/>
      </c>
      <c r="AK115" s="7" t="str">
        <f t="shared" si="168"/>
        <v/>
      </c>
      <c r="AL115" s="7" t="str">
        <f t="shared" si="168"/>
        <v/>
      </c>
      <c r="AM115" s="97" t="str">
        <f t="shared" si="10"/>
        <v/>
      </c>
      <c r="AN115" s="37"/>
      <c r="AO115" s="37"/>
      <c r="AP115" s="8"/>
      <c r="AQ115" s="8"/>
      <c r="AR115" s="8"/>
      <c r="AS115" s="8"/>
      <c r="AT115" s="8"/>
      <c r="AU115" s="8"/>
      <c r="AV115" s="8"/>
      <c r="AW115" s="8"/>
      <c r="AX115" s="8"/>
    </row>
    <row r="116" ht="15.75" customHeight="1">
      <c r="A116" s="16"/>
      <c r="B116" s="72">
        <f>IF(B114="","",B114+7)</f>
        <v>46347</v>
      </c>
      <c r="C116" s="70" t="str">
        <f t="shared" si="14"/>
        <v>Weight</v>
      </c>
      <c r="D116" s="155"/>
      <c r="E116" s="156"/>
      <c r="F116" s="156"/>
      <c r="G116" s="156"/>
      <c r="H116" s="156"/>
      <c r="I116" s="156"/>
      <c r="J116" s="157"/>
      <c r="K116" s="76" t="str">
        <f t="shared" si="6"/>
        <v/>
      </c>
      <c r="L116" s="77" t="str">
        <f>IF(K116="","",AN116)</f>
        <v/>
      </c>
      <c r="M116" s="78" t="str">
        <f>IF(AM116="", "", MROUND(BB116, 10))</f>
        <v/>
      </c>
      <c r="N116" s="149"/>
      <c r="O116" s="79"/>
      <c r="P116" s="79"/>
      <c r="Q116" s="79"/>
      <c r="R116" s="79"/>
      <c r="S116" s="50"/>
      <c r="T116" s="79"/>
      <c r="U116" s="50"/>
      <c r="V116" s="79"/>
      <c r="W116" s="79"/>
      <c r="X116" s="79"/>
      <c r="Y116" s="80"/>
      <c r="Z116" s="80"/>
      <c r="AA116" s="81">
        <f>AA114+1</f>
        <v>53</v>
      </c>
      <c r="AB116" s="8">
        <f t="shared" si="7"/>
        <v>0</v>
      </c>
      <c r="AC116" s="7">
        <f>IF(K116="",AC114,K116)</f>
        <v>76.95714286</v>
      </c>
      <c r="AD116" s="8">
        <f>AD115</f>
        <v>77</v>
      </c>
      <c r="AE116" s="8">
        <f>IF($F$6&gt;$F$7,IF(AE114&gt;AD116,AE114+$AE$9,AD116),IF($F$6&lt;$F$7,IF(AE114&lt;AD116,AE114+$AE$9,AD116),AD116))</f>
        <v>77</v>
      </c>
      <c r="AF116" s="7" t="str">
        <f t="shared" si="16"/>
        <v/>
      </c>
      <c r="AG116" s="7" t="str">
        <f t="shared" ref="AG116:AL116" si="169">IF(E116="",AF116,E116)</f>
        <v/>
      </c>
      <c r="AH116" s="7" t="str">
        <f t="shared" si="169"/>
        <v/>
      </c>
      <c r="AI116" s="7" t="str">
        <f t="shared" si="169"/>
        <v/>
      </c>
      <c r="AJ116" s="7" t="str">
        <f t="shared" si="169"/>
        <v/>
      </c>
      <c r="AK116" s="7" t="str">
        <f t="shared" si="169"/>
        <v/>
      </c>
      <c r="AL116" s="7" t="str">
        <f t="shared" si="169"/>
        <v/>
      </c>
      <c r="AM116" s="82" t="str">
        <f t="shared" si="10"/>
        <v/>
      </c>
      <c r="AN116" s="83" t="str">
        <f>IF(AM116="","",AM116-AM114)</f>
        <v/>
      </c>
      <c r="AO116" s="84" t="str">
        <f>IF(AP116="","",IF(AN116="","",MROUND(AP116,5)))</f>
        <v/>
      </c>
      <c r="AP116" s="85">
        <f>IF(AB117=0,$AP114,IF(AB116=0,$AP114,((K117+(((-L116)*$AQ$7)/AB117)))+M114+M112+M110+M108+M106)/6)</f>
        <v>3004.379929</v>
      </c>
      <c r="AQ116" s="8"/>
      <c r="AR116" s="8"/>
      <c r="AS116" s="8"/>
      <c r="AT116" s="8"/>
      <c r="AU116" s="8"/>
      <c r="AV116" s="8"/>
      <c r="AW116" s="8"/>
      <c r="AX116" s="8"/>
      <c r="BA116" s="88">
        <f>IF(AM116="", BA114, (AM116*0.3) + (BA114*0.7))</f>
        <v>78.72274376</v>
      </c>
      <c r="BB116" s="88">
        <f>IF(AP116="", BB114, (AP116*0.3) + (BB114*0.7))</f>
        <v>3004.379914</v>
      </c>
      <c r="BC116" s="88">
        <f>IF(BB116="","", BB116*0.8)</f>
        <v>2403.503931</v>
      </c>
    </row>
    <row r="117" ht="15.75" customHeight="1">
      <c r="A117" s="16"/>
      <c r="B117" s="110"/>
      <c r="C117" s="137" t="str">
        <f t="shared" si="14"/>
        <v>Cal.</v>
      </c>
      <c r="D117" s="158"/>
      <c r="E117" s="159"/>
      <c r="F117" s="159"/>
      <c r="G117" s="159"/>
      <c r="H117" s="159"/>
      <c r="I117" s="159"/>
      <c r="J117" s="160"/>
      <c r="K117" s="94" t="str">
        <f t="shared" si="6"/>
        <v/>
      </c>
      <c r="L117" s="95"/>
      <c r="M117" s="96"/>
      <c r="N117" s="149"/>
      <c r="O117" s="79"/>
      <c r="P117" s="79"/>
      <c r="Q117" s="79"/>
      <c r="R117" s="79"/>
      <c r="S117" s="50"/>
      <c r="T117" s="79"/>
      <c r="U117" s="50"/>
      <c r="V117" s="79"/>
      <c r="W117" s="79"/>
      <c r="X117" s="79"/>
      <c r="Y117" s="80"/>
      <c r="Z117" s="80"/>
      <c r="AA117" s="81">
        <f>AA116+0.5</f>
        <v>53.5</v>
      </c>
      <c r="AB117" s="8">
        <f t="shared" si="7"/>
        <v>0</v>
      </c>
      <c r="AC117" s="7">
        <f t="shared" ref="AC117:AD117" si="170">AC116</f>
        <v>76.95714286</v>
      </c>
      <c r="AD117" s="8">
        <f t="shared" si="170"/>
        <v>77</v>
      </c>
      <c r="AE117" s="8">
        <f>IF($AE$9=0,0,(AE116+AE118)/2)</f>
        <v>77</v>
      </c>
      <c r="AF117" s="7" t="str">
        <f t="shared" si="16"/>
        <v/>
      </c>
      <c r="AG117" s="7" t="str">
        <f t="shared" ref="AG117:AL117" si="171">IF(E117="",AF117,E117)</f>
        <v/>
      </c>
      <c r="AH117" s="7" t="str">
        <f t="shared" si="171"/>
        <v/>
      </c>
      <c r="AI117" s="7" t="str">
        <f t="shared" si="171"/>
        <v/>
      </c>
      <c r="AJ117" s="7" t="str">
        <f t="shared" si="171"/>
        <v/>
      </c>
      <c r="AK117" s="7" t="str">
        <f t="shared" si="171"/>
        <v/>
      </c>
      <c r="AL117" s="7" t="str">
        <f t="shared" si="171"/>
        <v/>
      </c>
      <c r="AM117" s="97" t="str">
        <f t="shared" si="10"/>
        <v/>
      </c>
      <c r="AN117" s="37"/>
      <c r="AO117" s="37"/>
      <c r="AP117" s="8"/>
      <c r="AQ117" s="8"/>
      <c r="AR117" s="8"/>
      <c r="AS117" s="8"/>
      <c r="AT117" s="8"/>
      <c r="AU117" s="8"/>
      <c r="AV117" s="8"/>
      <c r="AW117" s="8"/>
      <c r="AX117" s="8"/>
    </row>
    <row r="118" ht="15.75" customHeight="1">
      <c r="A118" s="16"/>
      <c r="B118" s="98">
        <f>IF(B116="","",B116+7)</f>
        <v>46354</v>
      </c>
      <c r="C118" s="142" t="str">
        <f t="shared" si="14"/>
        <v>Weight</v>
      </c>
      <c r="D118" s="158"/>
      <c r="E118" s="159"/>
      <c r="F118" s="159"/>
      <c r="G118" s="159"/>
      <c r="H118" s="159"/>
      <c r="I118" s="159"/>
      <c r="J118" s="160"/>
      <c r="K118" s="100" t="str">
        <f t="shared" si="6"/>
        <v/>
      </c>
      <c r="L118" s="101" t="str">
        <f>IF(K118="","",AN118)</f>
        <v/>
      </c>
      <c r="M118" s="102" t="str">
        <f>IF(AM118="", "", MROUND(BB118, 10))</f>
        <v/>
      </c>
      <c r="N118" s="149"/>
      <c r="O118" s="103" t="str">
        <f>IF(M122="","","From")</f>
        <v/>
      </c>
      <c r="P118" s="104"/>
      <c r="Q118" s="105" t="str">
        <f>IF(M122="","",B116)</f>
        <v/>
      </c>
      <c r="R118" s="104"/>
      <c r="S118" s="104"/>
      <c r="T118" s="106" t="str">
        <f>IF(M122="","","to")</f>
        <v/>
      </c>
      <c r="U118" s="107" t="str">
        <f>IF(M122="","",B122)</f>
        <v/>
      </c>
      <c r="V118" s="104"/>
      <c r="W118" s="104"/>
      <c r="X118" s="108"/>
      <c r="Y118" s="109"/>
      <c r="Z118" s="80"/>
      <c r="AA118" s="81">
        <f>AA116+1</f>
        <v>54</v>
      </c>
      <c r="AB118" s="8">
        <f t="shared" si="7"/>
        <v>0</v>
      </c>
      <c r="AC118" s="7">
        <f>IF(K118="",AC116,K118)</f>
        <v>76.95714286</v>
      </c>
      <c r="AD118" s="8">
        <f>AD117</f>
        <v>77</v>
      </c>
      <c r="AE118" s="8">
        <f>IF($F$6&gt;$F$7,IF(AE116&gt;AD118,AE116+$AE$9,AD118),IF($F$6&lt;$F$7,IF(AE116&lt;AD118,AE116+$AE$9,AD118),AD118))</f>
        <v>77</v>
      </c>
      <c r="AF118" s="7" t="str">
        <f t="shared" si="16"/>
        <v/>
      </c>
      <c r="AG118" s="7" t="str">
        <f t="shared" ref="AG118:AL118" si="172">IF(E118="",AF118,E118)</f>
        <v/>
      </c>
      <c r="AH118" s="7" t="str">
        <f t="shared" si="172"/>
        <v/>
      </c>
      <c r="AI118" s="7" t="str">
        <f t="shared" si="172"/>
        <v/>
      </c>
      <c r="AJ118" s="7" t="str">
        <f t="shared" si="172"/>
        <v/>
      </c>
      <c r="AK118" s="7" t="str">
        <f t="shared" si="172"/>
        <v/>
      </c>
      <c r="AL118" s="7" t="str">
        <f t="shared" si="172"/>
        <v/>
      </c>
      <c r="AM118" s="82" t="str">
        <f t="shared" si="10"/>
        <v/>
      </c>
      <c r="AN118" s="83" t="str">
        <f>IF(AM118="","",AM118-AM116)</f>
        <v/>
      </c>
      <c r="AO118" s="84" t="str">
        <f>IF(AP118="","",IF(AN118="","",MROUND(AP118,5)))</f>
        <v/>
      </c>
      <c r="AP118" s="85">
        <f>IF(AB119=0,$AP116,IF(AB118=0,$AP116,((K119+(((-L118)*$AQ$7)/AB119)))+M116+M114+M112+M110+M108)/6)</f>
        <v>3004.379929</v>
      </c>
      <c r="AQ118" s="8"/>
      <c r="AR118" s="8"/>
      <c r="AS118" s="8"/>
      <c r="AT118" s="8"/>
      <c r="AU118" s="8"/>
      <c r="AV118" s="8"/>
      <c r="AW118" s="8"/>
      <c r="AX118" s="8"/>
      <c r="BA118" s="88">
        <f>IF(AM118="", BA116, (AM118*0.3) + (BA116*0.7))</f>
        <v>78.72274376</v>
      </c>
      <c r="BB118" s="88">
        <f>IF(AP118="", BB116, (AP118*0.3) + (BB116*0.7))</f>
        <v>3004.379918</v>
      </c>
      <c r="BC118" s="88">
        <f>IF(BB118="","", BB118*0.8)</f>
        <v>2403.503935</v>
      </c>
    </row>
    <row r="119" ht="15.75" customHeight="1">
      <c r="A119" s="16"/>
      <c r="B119" s="110"/>
      <c r="C119" s="146" t="str">
        <f t="shared" si="14"/>
        <v>Cal.</v>
      </c>
      <c r="D119" s="158"/>
      <c r="E119" s="159"/>
      <c r="F119" s="159"/>
      <c r="G119" s="159"/>
      <c r="H119" s="159"/>
      <c r="I119" s="159"/>
      <c r="J119" s="160"/>
      <c r="K119" s="94" t="str">
        <f t="shared" si="6"/>
        <v/>
      </c>
      <c r="L119" s="95"/>
      <c r="M119" s="96"/>
      <c r="N119" s="149"/>
      <c r="O119" s="112"/>
      <c r="Q119" s="36"/>
      <c r="T119" s="37"/>
      <c r="U119" s="36"/>
      <c r="X119" s="113"/>
      <c r="Y119" s="109"/>
      <c r="Z119" s="80"/>
      <c r="AA119" s="81">
        <f>AA118+0.5</f>
        <v>54.5</v>
      </c>
      <c r="AB119" s="8">
        <f t="shared" si="7"/>
        <v>0</v>
      </c>
      <c r="AC119" s="7">
        <f t="shared" ref="AC119:AD119" si="173">AC118</f>
        <v>76.95714286</v>
      </c>
      <c r="AD119" s="8">
        <f t="shared" si="173"/>
        <v>77</v>
      </c>
      <c r="AE119" s="8">
        <f>IF($AE$9=0,0,(AE118+AE120)/2)</f>
        <v>77</v>
      </c>
      <c r="AF119" s="7" t="str">
        <f t="shared" si="16"/>
        <v/>
      </c>
      <c r="AG119" s="7" t="str">
        <f t="shared" ref="AG119:AL119" si="174">IF(E119="",AF119,E119)</f>
        <v/>
      </c>
      <c r="AH119" s="7" t="str">
        <f t="shared" si="174"/>
        <v/>
      </c>
      <c r="AI119" s="7" t="str">
        <f t="shared" si="174"/>
        <v/>
      </c>
      <c r="AJ119" s="7" t="str">
        <f t="shared" si="174"/>
        <v/>
      </c>
      <c r="AK119" s="7" t="str">
        <f t="shared" si="174"/>
        <v/>
      </c>
      <c r="AL119" s="7" t="str">
        <f t="shared" si="174"/>
        <v/>
      </c>
      <c r="AM119" s="97" t="str">
        <f t="shared" si="10"/>
        <v/>
      </c>
      <c r="AN119" s="37"/>
      <c r="AO119" s="37"/>
      <c r="AP119" s="8"/>
      <c r="AQ119" s="8"/>
      <c r="AR119" s="8"/>
      <c r="AS119" s="8"/>
      <c r="AT119" s="8"/>
      <c r="AU119" s="8"/>
      <c r="AV119" s="8"/>
      <c r="AW119" s="8"/>
      <c r="AX119" s="8"/>
    </row>
    <row r="120" ht="15.75" customHeight="1">
      <c r="A120" s="16"/>
      <c r="B120" s="98">
        <f>IF(B118="","",B118+7)</f>
        <v>46361</v>
      </c>
      <c r="C120" s="142" t="str">
        <f t="shared" si="14"/>
        <v>Weight</v>
      </c>
      <c r="D120" s="158"/>
      <c r="E120" s="159"/>
      <c r="F120" s="159"/>
      <c r="G120" s="159"/>
      <c r="H120" s="159"/>
      <c r="I120" s="159"/>
      <c r="J120" s="160"/>
      <c r="K120" s="100" t="str">
        <f t="shared" si="6"/>
        <v/>
      </c>
      <c r="L120" s="101" t="str">
        <f>IF(K120="","",AN120)</f>
        <v/>
      </c>
      <c r="M120" s="102" t="str">
        <f>IF(AM120="", "", MROUND(BB120, 10))</f>
        <v/>
      </c>
      <c r="N120" s="149"/>
      <c r="O120" s="114" t="str">
        <f>IF(M122="","",IF(K122=K114,"No Weight Change",IF(K122&gt;K114,"You Gained:","You Lost:")))</f>
        <v/>
      </c>
      <c r="P120" s="14"/>
      <c r="Q120" s="14"/>
      <c r="R120" s="14"/>
      <c r="S120" s="14"/>
      <c r="T120" s="14"/>
      <c r="U120" s="115" t="str">
        <f>IF(M122="","",IF(K122=K114,"",IF(K122&gt;K114,K122-K114,K114-K122)))</f>
        <v/>
      </c>
      <c r="V120" s="116" t="str">
        <f>IF(O120="","",IF(O120="No Weight Change","",IF($F$4="Lb","Lb",IF($F$4="Kg","Kg",""))))</f>
        <v/>
      </c>
      <c r="W120" s="14"/>
      <c r="X120" s="117"/>
      <c r="Y120" s="109"/>
      <c r="Z120" s="80"/>
      <c r="AA120" s="81">
        <f>AA118+1</f>
        <v>55</v>
      </c>
      <c r="AB120" s="8">
        <f t="shared" si="7"/>
        <v>0</v>
      </c>
      <c r="AC120" s="7">
        <f>IF(K120="",AC118,K120)</f>
        <v>76.95714286</v>
      </c>
      <c r="AD120" s="8">
        <f>AD119</f>
        <v>77</v>
      </c>
      <c r="AE120" s="8">
        <f>IF($F$6&gt;$F$7,IF(AE118&gt;AD120,AE118+$AE$9,AD120),IF($F$6&lt;$F$7,IF(AE118&lt;AD120,AE118+$AE$9,AD120),AD120))</f>
        <v>77</v>
      </c>
      <c r="AF120" s="7" t="str">
        <f t="shared" si="16"/>
        <v/>
      </c>
      <c r="AG120" s="7" t="str">
        <f t="shared" ref="AG120:AL120" si="175">IF(E120="",AF120,E120)</f>
        <v/>
      </c>
      <c r="AH120" s="7" t="str">
        <f t="shared" si="175"/>
        <v/>
      </c>
      <c r="AI120" s="7" t="str">
        <f t="shared" si="175"/>
        <v/>
      </c>
      <c r="AJ120" s="7" t="str">
        <f t="shared" si="175"/>
        <v/>
      </c>
      <c r="AK120" s="7" t="str">
        <f t="shared" si="175"/>
        <v/>
      </c>
      <c r="AL120" s="7" t="str">
        <f t="shared" si="175"/>
        <v/>
      </c>
      <c r="AM120" s="82" t="str">
        <f t="shared" si="10"/>
        <v/>
      </c>
      <c r="AN120" s="83" t="str">
        <f>IF(AM120="","",AM120-AM118)</f>
        <v/>
      </c>
      <c r="AO120" s="84" t="str">
        <f>IF(AP120="","",IF(AN120="","",MROUND(AP120,5)))</f>
        <v/>
      </c>
      <c r="AP120" s="85">
        <f>IF(AB121=0,$AP118,IF(AB120=0,$AP118,((K121+(((-L120)*$AQ$7)/AB121)))+M118+M116+M114+M112+M110)/6)</f>
        <v>3004.379929</v>
      </c>
      <c r="AQ120" s="8"/>
      <c r="AR120" s="8"/>
      <c r="AS120" s="8"/>
      <c r="AT120" s="8"/>
      <c r="AU120" s="8"/>
      <c r="AV120" s="8"/>
      <c r="AW120" s="8"/>
      <c r="AX120" s="8"/>
      <c r="BA120" s="88">
        <f>IF(AM120="", BA118, (AM120*0.3) + (BA118*0.7))</f>
        <v>78.72274376</v>
      </c>
      <c r="BB120" s="88">
        <f>IF(AP120="", BB118, (AP120*0.3) + (BB118*0.7))</f>
        <v>3004.379921</v>
      </c>
      <c r="BC120" s="88">
        <f>IF(BB120="","", BB120*0.8)</f>
        <v>2403.503937</v>
      </c>
    </row>
    <row r="121" ht="15.75" customHeight="1">
      <c r="A121" s="16"/>
      <c r="B121" s="110"/>
      <c r="C121" s="146" t="str">
        <f t="shared" si="14"/>
        <v>Cal.</v>
      </c>
      <c r="D121" s="158"/>
      <c r="E121" s="159"/>
      <c r="F121" s="159"/>
      <c r="G121" s="159"/>
      <c r="H121" s="159"/>
      <c r="I121" s="159"/>
      <c r="J121" s="160"/>
      <c r="K121" s="94" t="str">
        <f t="shared" si="6"/>
        <v/>
      </c>
      <c r="L121" s="95"/>
      <c r="M121" s="96"/>
      <c r="N121" s="149"/>
      <c r="O121" s="118" t="str">
        <f>IF(M122="","",IF(K122=K114,"","At a Rate Of"))</f>
        <v/>
      </c>
      <c r="P121" s="14"/>
      <c r="Q121" s="14"/>
      <c r="R121" s="14"/>
      <c r="S121" s="14"/>
      <c r="T121" s="119" t="str">
        <f>IF(O121="","",U120/4)</f>
        <v/>
      </c>
      <c r="U121" s="14"/>
      <c r="V121" s="120" t="str">
        <f>IF(O120="","",IF(O120="No Weight Change","",IF($F$4="Lb","Lb/Wk",IF($F$4="Kg","Kg/Wk",""))))</f>
        <v/>
      </c>
      <c r="W121" s="14"/>
      <c r="X121" s="117"/>
      <c r="Y121" s="109"/>
      <c r="Z121" s="80"/>
      <c r="AA121" s="81">
        <f>AA120+0.5</f>
        <v>55.5</v>
      </c>
      <c r="AB121" s="8">
        <f t="shared" si="7"/>
        <v>0</v>
      </c>
      <c r="AC121" s="7">
        <f t="shared" ref="AC121:AD121" si="176">AC120</f>
        <v>76.95714286</v>
      </c>
      <c r="AD121" s="8">
        <f t="shared" si="176"/>
        <v>77</v>
      </c>
      <c r="AE121" s="8">
        <f>IF($AE$9=0,0,(AE120+AE122)/2)</f>
        <v>77</v>
      </c>
      <c r="AF121" s="7" t="str">
        <f t="shared" si="16"/>
        <v/>
      </c>
      <c r="AG121" s="7" t="str">
        <f t="shared" ref="AG121:AL121" si="177">IF(E121="",AF121,E121)</f>
        <v/>
      </c>
      <c r="AH121" s="7" t="str">
        <f t="shared" si="177"/>
        <v/>
      </c>
      <c r="AI121" s="7" t="str">
        <f t="shared" si="177"/>
        <v/>
      </c>
      <c r="AJ121" s="7" t="str">
        <f t="shared" si="177"/>
        <v/>
      </c>
      <c r="AK121" s="7" t="str">
        <f t="shared" si="177"/>
        <v/>
      </c>
      <c r="AL121" s="7" t="str">
        <f t="shared" si="177"/>
        <v/>
      </c>
      <c r="AM121" s="97" t="str">
        <f t="shared" si="10"/>
        <v/>
      </c>
      <c r="AN121" s="37"/>
      <c r="AO121" s="37"/>
      <c r="AP121" s="8"/>
      <c r="AQ121" s="8"/>
      <c r="AR121" s="8"/>
      <c r="AS121" s="8"/>
      <c r="AT121" s="8"/>
      <c r="AU121" s="8"/>
      <c r="AV121" s="8"/>
      <c r="AW121" s="8"/>
      <c r="AX121" s="8"/>
    </row>
    <row r="122" ht="15.75" customHeight="1">
      <c r="A122" s="16"/>
      <c r="B122" s="98">
        <f>IF(B120="","",B120+7)</f>
        <v>46368</v>
      </c>
      <c r="C122" s="142" t="str">
        <f t="shared" si="14"/>
        <v>Weight</v>
      </c>
      <c r="D122" s="158"/>
      <c r="E122" s="159"/>
      <c r="F122" s="159"/>
      <c r="G122" s="159"/>
      <c r="H122" s="159"/>
      <c r="I122" s="159"/>
      <c r="J122" s="160"/>
      <c r="K122" s="100" t="str">
        <f t="shared" si="6"/>
        <v/>
      </c>
      <c r="L122" s="101" t="str">
        <f>IF(K122="","",AN122)</f>
        <v/>
      </c>
      <c r="M122" s="102" t="str">
        <f>IF(AM122="", "", MROUND(BB122, 10))</f>
        <v/>
      </c>
      <c r="N122" s="149"/>
      <c r="O122" s="121" t="str">
        <f>IF(T121="","","You have")</f>
        <v/>
      </c>
      <c r="P122" s="26"/>
      <c r="Q122" s="26"/>
      <c r="R122" s="26"/>
      <c r="S122" s="122" t="str">
        <f>IF(T121="","",IF(K122&gt;F111,K122-F111,F111-K122))</f>
        <v/>
      </c>
      <c r="T122" s="123" t="str">
        <f>IF(T121="","",IF(T121="No Weight Change","",IF(F108="Lb","Lb to go!",IF(F108="Kg","Kg to go!",""))))</f>
        <v/>
      </c>
      <c r="U122" s="26"/>
      <c r="V122" s="26"/>
      <c r="W122" s="26"/>
      <c r="X122" s="124"/>
      <c r="Y122" s="109"/>
      <c r="Z122" s="80"/>
      <c r="AA122" s="81">
        <f>AA120+1</f>
        <v>56</v>
      </c>
      <c r="AB122" s="8">
        <f t="shared" si="7"/>
        <v>0</v>
      </c>
      <c r="AC122" s="7">
        <f>IF(K122="",AC120,K122)</f>
        <v>76.95714286</v>
      </c>
      <c r="AD122" s="8">
        <f>AD121</f>
        <v>77</v>
      </c>
      <c r="AE122" s="8">
        <f>IF($F$6&gt;$F$7,IF(AE120&gt;AD122,AE120+$AE$9,AD122),IF($F$6&lt;$F$7,IF(AE120&lt;AD122,AE120+$AE$9,AD122),AD122))</f>
        <v>77</v>
      </c>
      <c r="AF122" s="7" t="str">
        <f t="shared" si="16"/>
        <v/>
      </c>
      <c r="AG122" s="7" t="str">
        <f t="shared" ref="AG122:AL122" si="178">IF(E122="",AF122,E122)</f>
        <v/>
      </c>
      <c r="AH122" s="7" t="str">
        <f t="shared" si="178"/>
        <v/>
      </c>
      <c r="AI122" s="7" t="str">
        <f t="shared" si="178"/>
        <v/>
      </c>
      <c r="AJ122" s="7" t="str">
        <f t="shared" si="178"/>
        <v/>
      </c>
      <c r="AK122" s="7" t="str">
        <f t="shared" si="178"/>
        <v/>
      </c>
      <c r="AL122" s="7" t="str">
        <f t="shared" si="178"/>
        <v/>
      </c>
      <c r="AM122" s="82" t="str">
        <f t="shared" si="10"/>
        <v/>
      </c>
      <c r="AN122" s="83" t="str">
        <f>IF(AM122="","",AM122-AM120)</f>
        <v/>
      </c>
      <c r="AO122" s="84" t="str">
        <f>IF(AP122="","",IF(AN122="","",MROUND(AP122,5)))</f>
        <v/>
      </c>
      <c r="AP122" s="85">
        <f>IF(AB123=0,$AP120,IF(AB122=0,$AP120,((K123+(((-L122)*$AQ$7)/AB123)))+M120+M118+M116+M114+M112)/6)</f>
        <v>3004.379929</v>
      </c>
      <c r="AQ122" s="8"/>
      <c r="AR122" s="8"/>
      <c r="AS122" s="8"/>
      <c r="AT122" s="8"/>
      <c r="AU122" s="8"/>
      <c r="AV122" s="8"/>
      <c r="AW122" s="8"/>
      <c r="AX122" s="8"/>
      <c r="BA122" s="88">
        <f>IF(AM122="", BA120, (AM122*0.3) + (BA120*0.7))</f>
        <v>78.72274376</v>
      </c>
      <c r="BB122" s="88">
        <f>IF(AP122="", BB120, (AP122*0.3) + (BB120*0.7))</f>
        <v>3004.379923</v>
      </c>
      <c r="BC122" s="88">
        <f>IF(BB122="","", BB122*0.8)</f>
        <v>2403.503939</v>
      </c>
    </row>
    <row r="123" ht="15.75" customHeight="1">
      <c r="A123" s="16"/>
      <c r="B123" s="150"/>
      <c r="C123" s="151" t="str">
        <f t="shared" si="14"/>
        <v>Cal.</v>
      </c>
      <c r="D123" s="162"/>
      <c r="E123" s="163"/>
      <c r="F123" s="163"/>
      <c r="G123" s="163"/>
      <c r="H123" s="163"/>
      <c r="I123" s="163"/>
      <c r="J123" s="164"/>
      <c r="K123" s="125" t="str">
        <f t="shared" si="6"/>
        <v/>
      </c>
      <c r="L123" s="126"/>
      <c r="M123" s="127"/>
      <c r="N123" s="149"/>
      <c r="O123" s="128"/>
      <c r="P123" s="129"/>
      <c r="Q123" s="129"/>
      <c r="R123" s="129"/>
      <c r="S123" s="126"/>
      <c r="T123" s="130"/>
      <c r="U123" s="129"/>
      <c r="V123" s="129"/>
      <c r="W123" s="129"/>
      <c r="X123" s="131"/>
      <c r="Y123" s="109"/>
      <c r="Z123" s="80"/>
      <c r="AA123" s="81">
        <f>AA122+0.5</f>
        <v>56.5</v>
      </c>
      <c r="AB123" s="8">
        <f t="shared" si="7"/>
        <v>0</v>
      </c>
      <c r="AC123" s="7">
        <f t="shared" ref="AC123:AD123" si="179">AC122</f>
        <v>76.95714286</v>
      </c>
      <c r="AD123" s="8">
        <f t="shared" si="179"/>
        <v>77</v>
      </c>
      <c r="AE123" s="8"/>
      <c r="AF123" s="7" t="str">
        <f t="shared" si="16"/>
        <v/>
      </c>
      <c r="AG123" s="7" t="str">
        <f t="shared" ref="AG123:AL123" si="180">IF(E123="",AF123,E123)</f>
        <v/>
      </c>
      <c r="AH123" s="7" t="str">
        <f t="shared" si="180"/>
        <v/>
      </c>
      <c r="AI123" s="7" t="str">
        <f t="shared" si="180"/>
        <v/>
      </c>
      <c r="AJ123" s="7" t="str">
        <f t="shared" si="180"/>
        <v/>
      </c>
      <c r="AK123" s="7" t="str">
        <f t="shared" si="180"/>
        <v/>
      </c>
      <c r="AL123" s="7" t="str">
        <f t="shared" si="180"/>
        <v/>
      </c>
      <c r="AM123" s="97" t="str">
        <f t="shared" si="10"/>
        <v/>
      </c>
      <c r="AN123" s="37"/>
      <c r="AO123" s="37"/>
      <c r="AP123" s="8"/>
      <c r="AQ123" s="8"/>
      <c r="AR123" s="8"/>
      <c r="AS123" s="8"/>
      <c r="AT123" s="8"/>
      <c r="AU123" s="8"/>
      <c r="AV123" s="8"/>
      <c r="AW123" s="8"/>
      <c r="AX123" s="8"/>
    </row>
    <row r="124" ht="15.75" customHeight="1">
      <c r="A124" s="16"/>
      <c r="B124" s="3"/>
      <c r="C124" s="3"/>
      <c r="D124" s="3"/>
      <c r="E124" s="3"/>
      <c r="F124" s="3"/>
      <c r="G124" s="3"/>
      <c r="H124" s="3"/>
      <c r="I124" s="3"/>
      <c r="J124" s="3"/>
      <c r="K124" s="165" t="str">
        <f>K122</f>
        <v/>
      </c>
      <c r="L124" s="3"/>
      <c r="M124" s="166"/>
      <c r="N124" s="4"/>
      <c r="O124" s="4"/>
      <c r="P124" s="4"/>
      <c r="Q124" s="4"/>
      <c r="R124" s="4"/>
      <c r="S124" s="5"/>
      <c r="T124" s="4"/>
      <c r="U124" s="5"/>
      <c r="V124" s="4"/>
      <c r="W124" s="4"/>
      <c r="X124" s="4"/>
      <c r="Y124" s="6"/>
      <c r="Z124" s="6"/>
      <c r="AA124" s="81"/>
      <c r="AB124" s="8" t="s">
        <v>40</v>
      </c>
      <c r="AC124" s="8">
        <f>MROUND(AC123,0.5)</f>
        <v>77</v>
      </c>
      <c r="AD124" s="8"/>
      <c r="AE124" s="8"/>
      <c r="AF124" s="7"/>
      <c r="AG124" s="7"/>
      <c r="AH124" s="7"/>
      <c r="AI124" s="7"/>
      <c r="AJ124" s="7"/>
      <c r="AK124" s="7"/>
      <c r="AL124" s="7"/>
      <c r="AM124" s="8"/>
      <c r="AN124" s="8"/>
      <c r="AO124" s="8" t="s">
        <v>41</v>
      </c>
      <c r="AP124" s="85">
        <f>IF(AB125=0,$AP122,IF(AB124=0,$AP122,((K125+(((-L124)*$AQ$7)/AB125)))+M122+M120+M118+M116+M114)/6)</f>
        <v>3004.379929</v>
      </c>
      <c r="AQ124" s="8"/>
      <c r="AR124" s="8"/>
      <c r="AS124" s="8"/>
      <c r="AT124" s="8"/>
      <c r="AU124" s="8"/>
      <c r="AV124" s="8"/>
      <c r="AW124" s="8"/>
      <c r="AX124" s="8"/>
      <c r="BA124" s="88">
        <f>IF(AM124="", BA122, (AM124*0.3) + (BA122*0.7))</f>
        <v>78.72274376</v>
      </c>
      <c r="BB124" s="88">
        <f>IF(AP124="", BB122, (AP124*0.3) + (BB122*0.7))</f>
        <v>3004.379925</v>
      </c>
      <c r="BC124" s="88">
        <f>IF(BB124="","", BB124*0.8)</f>
        <v>2403.50394</v>
      </c>
    </row>
    <row r="125" ht="15.75" customHeight="1">
      <c r="A125" s="16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4"/>
      <c r="O125" s="4"/>
      <c r="P125" s="4"/>
      <c r="Q125" s="4"/>
      <c r="R125" s="4"/>
      <c r="S125" s="5"/>
      <c r="T125" s="4"/>
      <c r="U125" s="5"/>
      <c r="V125" s="4"/>
      <c r="W125" s="4"/>
      <c r="X125" s="4"/>
      <c r="Y125" s="6"/>
      <c r="Z125" s="6"/>
      <c r="AA125" s="7"/>
      <c r="AB125" s="8"/>
      <c r="AC125" s="8"/>
      <c r="AD125" s="8"/>
      <c r="AE125" s="8"/>
      <c r="AF125" s="7"/>
      <c r="AG125" s="7"/>
      <c r="AH125" s="7"/>
      <c r="AI125" s="7"/>
      <c r="AJ125" s="7"/>
      <c r="AK125" s="7"/>
      <c r="AL125" s="7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</row>
    <row r="126" ht="15.75" customHeight="1">
      <c r="A126" s="167">
        <v>2.0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4"/>
      <c r="O126" s="4"/>
      <c r="P126" s="4"/>
      <c r="Q126" s="4"/>
      <c r="R126" s="4"/>
      <c r="S126" s="5"/>
      <c r="T126" s="4"/>
      <c r="U126" s="5"/>
      <c r="V126" s="4"/>
      <c r="W126" s="4"/>
      <c r="X126" s="4"/>
      <c r="Y126" s="6"/>
      <c r="Z126" s="6"/>
      <c r="AA126" s="7"/>
      <c r="AB126" s="8"/>
      <c r="AC126" s="8"/>
      <c r="AD126" s="8"/>
      <c r="AE126" s="8"/>
      <c r="AF126" s="7"/>
      <c r="AG126" s="7"/>
      <c r="AH126" s="7"/>
      <c r="AI126" s="7"/>
      <c r="AJ126" s="7"/>
      <c r="AK126" s="7"/>
      <c r="AL126" s="7"/>
      <c r="AM126" s="8"/>
      <c r="AN126" s="8"/>
      <c r="AO126" s="8"/>
      <c r="AP126" s="85">
        <f>IF(AB127=0,$AP124,IF(AB126=0,$AP124,((K127+(((-L126)*$AQ$7)/AB127)))+M124+M122+M120+M118+M116)/6)</f>
        <v>3004.379929</v>
      </c>
      <c r="AQ126" s="8"/>
      <c r="AR126" s="8"/>
      <c r="AS126" s="8"/>
      <c r="AT126" s="8"/>
      <c r="AU126" s="8"/>
      <c r="AV126" s="8"/>
      <c r="AW126" s="8"/>
      <c r="AX126" s="8"/>
      <c r="BA126" s="88">
        <f>IF(AM126="", BA124, (AM126*0.3) + (BA124*0.7))</f>
        <v>78.72274376</v>
      </c>
      <c r="BB126" s="88">
        <f>IF(AP126="", BB124, (AP126*0.3) + (BB124*0.7))</f>
        <v>3004.379926</v>
      </c>
      <c r="BC126" s="88">
        <f>IF(BB126="","", BB126*0.8)</f>
        <v>2403.503941</v>
      </c>
    </row>
    <row r="127" ht="15.75" customHeight="1">
      <c r="A127" s="16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4"/>
      <c r="O127" s="4"/>
      <c r="P127" s="4"/>
      <c r="Q127" s="4"/>
      <c r="R127" s="4"/>
      <c r="S127" s="5"/>
      <c r="T127" s="4"/>
      <c r="U127" s="5"/>
      <c r="V127" s="4"/>
      <c r="W127" s="4"/>
      <c r="X127" s="4"/>
      <c r="Y127" s="6"/>
      <c r="Z127" s="6"/>
      <c r="AA127" s="7"/>
      <c r="AB127" s="8"/>
      <c r="AC127" s="8"/>
      <c r="AD127" s="8"/>
      <c r="AE127" s="8"/>
      <c r="AF127" s="7"/>
      <c r="AG127" s="7"/>
      <c r="AH127" s="7"/>
      <c r="AI127" s="7"/>
      <c r="AJ127" s="7"/>
      <c r="AK127" s="7"/>
      <c r="AL127" s="7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</row>
    <row r="128" ht="15.75" customHeight="1">
      <c r="A128" s="16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4"/>
      <c r="O128" s="4"/>
      <c r="P128" s="4"/>
      <c r="Q128" s="4"/>
      <c r="R128" s="4"/>
      <c r="S128" s="5"/>
      <c r="T128" s="4"/>
      <c r="U128" s="5"/>
      <c r="V128" s="4"/>
      <c r="W128" s="4"/>
      <c r="X128" s="4"/>
      <c r="Y128" s="6"/>
      <c r="Z128" s="6"/>
      <c r="AA128" s="7"/>
      <c r="AB128" s="8"/>
      <c r="AC128" s="8"/>
      <c r="AD128" s="8"/>
      <c r="AE128" s="8"/>
      <c r="AF128" s="7"/>
      <c r="AG128" s="7"/>
      <c r="AH128" s="7"/>
      <c r="AI128" s="7"/>
      <c r="AJ128" s="7"/>
      <c r="AK128" s="7"/>
      <c r="AL128" s="7"/>
      <c r="AM128" s="8"/>
      <c r="AN128" s="8"/>
      <c r="AO128" s="8"/>
      <c r="AP128" s="85">
        <f>IF(AB129=0,$AP126,IF(AB128=0,$AP126,((K129+(((-L128)*$AQ$7)/AB129)))+M126+M124+M122+M120+M118)/6)</f>
        <v>3004.379929</v>
      </c>
      <c r="AQ128" s="8"/>
      <c r="AR128" s="8"/>
      <c r="AS128" s="8"/>
      <c r="AT128" s="8"/>
      <c r="AU128" s="8"/>
      <c r="AV128" s="8"/>
      <c r="AW128" s="8"/>
      <c r="AX128" s="8"/>
      <c r="BA128" s="88">
        <f>IF(AM128="", BA126, (AM128*0.3) + (BA126*0.7))</f>
        <v>78.72274376</v>
      </c>
      <c r="BB128" s="88">
        <f>IF(AP128="", BB126, (AP128*0.3) + (BB126*0.7))</f>
        <v>3004.379927</v>
      </c>
      <c r="BC128" s="88">
        <f>IF(BB128="","", BB128*0.8)</f>
        <v>2403.503941</v>
      </c>
    </row>
    <row r="129" ht="15.75" customHeight="1">
      <c r="A129" s="16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4"/>
      <c r="O129" s="4"/>
      <c r="P129" s="4"/>
      <c r="Q129" s="4"/>
      <c r="R129" s="4"/>
      <c r="S129" s="5"/>
      <c r="T129" s="4"/>
      <c r="U129" s="5"/>
      <c r="V129" s="4"/>
      <c r="W129" s="4"/>
      <c r="X129" s="4"/>
      <c r="Y129" s="6"/>
      <c r="Z129" s="6"/>
      <c r="AA129" s="7"/>
      <c r="AB129" s="8"/>
      <c r="AC129" s="8"/>
      <c r="AD129" s="8"/>
      <c r="AE129" s="8"/>
      <c r="AF129" s="7"/>
      <c r="AG129" s="7"/>
      <c r="AH129" s="7"/>
      <c r="AI129" s="7"/>
      <c r="AJ129" s="7"/>
      <c r="AK129" s="7"/>
      <c r="AL129" s="7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</row>
    <row r="130" ht="15.75" customHeight="1">
      <c r="A130" s="16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4"/>
      <c r="O130" s="4"/>
      <c r="P130" s="4"/>
      <c r="Q130" s="4"/>
      <c r="R130" s="4"/>
      <c r="S130" s="5"/>
      <c r="T130" s="4"/>
      <c r="U130" s="5"/>
      <c r="V130" s="4"/>
      <c r="W130" s="4"/>
      <c r="X130" s="4"/>
      <c r="Y130" s="6"/>
      <c r="Z130" s="6"/>
      <c r="AA130" s="7"/>
      <c r="AB130" s="8"/>
      <c r="AC130" s="8"/>
      <c r="AD130" s="8"/>
      <c r="AE130" s="8"/>
      <c r="AF130" s="7"/>
      <c r="AG130" s="7"/>
      <c r="AH130" s="7"/>
      <c r="AI130" s="7"/>
      <c r="AJ130" s="7"/>
      <c r="AK130" s="7"/>
      <c r="AL130" s="7"/>
      <c r="AM130" s="8"/>
      <c r="AN130" s="8"/>
      <c r="AO130" s="8"/>
      <c r="AP130" s="85">
        <f>IF(AB131=0,$AP128,IF(AB130=0,$AP128,((K131+(((-L130)*$AQ$7)/AB131)))+M128+M126+M124+M122+M120)/6)</f>
        <v>3004.379929</v>
      </c>
      <c r="AQ130" s="8"/>
      <c r="AR130" s="8"/>
      <c r="AS130" s="8"/>
      <c r="AT130" s="8"/>
      <c r="AU130" s="8"/>
      <c r="AV130" s="8"/>
      <c r="AW130" s="8"/>
      <c r="AX130" s="8"/>
      <c r="BA130" s="88">
        <f>IF(AM130="", BA128, (AM130*0.3) + (BA128*0.7))</f>
        <v>78.72274376</v>
      </c>
      <c r="BB130" s="88">
        <f>IF(AP130="", BB128, (AP130*0.3) + (BB128*0.7))</f>
        <v>3004.379927</v>
      </c>
      <c r="BC130" s="88">
        <f>IF(BB130="","", BB130*0.8)</f>
        <v>2403.503942</v>
      </c>
    </row>
    <row r="131" ht="15.75" customHeight="1">
      <c r="A131" s="16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4"/>
      <c r="O131" s="4"/>
      <c r="P131" s="4"/>
      <c r="Q131" s="4"/>
      <c r="R131" s="4"/>
      <c r="S131" s="5"/>
      <c r="T131" s="4"/>
      <c r="U131" s="5"/>
      <c r="V131" s="4"/>
      <c r="W131" s="4"/>
      <c r="X131" s="4"/>
      <c r="Y131" s="6"/>
      <c r="Z131" s="6"/>
      <c r="AA131" s="7"/>
      <c r="AB131" s="8"/>
      <c r="AC131" s="8"/>
      <c r="AD131" s="8"/>
      <c r="AE131" s="8"/>
      <c r="AF131" s="7"/>
      <c r="AG131" s="7"/>
      <c r="AH131" s="7"/>
      <c r="AI131" s="7"/>
      <c r="AJ131" s="7"/>
      <c r="AK131" s="7"/>
      <c r="AL131" s="7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</row>
    <row r="132" ht="15.75" customHeight="1">
      <c r="A132" s="16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4"/>
      <c r="O132" s="4"/>
      <c r="P132" s="4"/>
      <c r="Q132" s="4"/>
      <c r="R132" s="4"/>
      <c r="S132" s="5"/>
      <c r="T132" s="4"/>
      <c r="U132" s="5"/>
      <c r="V132" s="4"/>
      <c r="W132" s="4"/>
      <c r="X132" s="4"/>
      <c r="Y132" s="6"/>
      <c r="Z132" s="6"/>
      <c r="AA132" s="7"/>
      <c r="AB132" s="8"/>
      <c r="AC132" s="8"/>
      <c r="AD132" s="8"/>
      <c r="AE132" s="8"/>
      <c r="AF132" s="7"/>
      <c r="AG132" s="7"/>
      <c r="AH132" s="7"/>
      <c r="AI132" s="7"/>
      <c r="AJ132" s="7"/>
      <c r="AK132" s="7"/>
      <c r="AL132" s="7"/>
      <c r="AM132" s="8"/>
      <c r="AN132" s="8"/>
      <c r="AO132" s="8"/>
      <c r="AP132" s="85">
        <f>IF(AB133=0,$AP130,IF(AB132=0,$AP130,((K133+(((-L132)*$AQ$7)/AB133)))+M130+M128+M126+M124+M122)/6)</f>
        <v>3004.379929</v>
      </c>
      <c r="AQ132" s="8"/>
      <c r="AR132" s="8"/>
      <c r="AS132" s="8"/>
      <c r="AT132" s="8"/>
      <c r="AU132" s="8"/>
      <c r="AV132" s="8"/>
      <c r="AW132" s="8"/>
      <c r="AX132" s="8"/>
      <c r="BA132" s="88">
        <f>IF(AM132="", BA130, (AM132*0.3) + (BA130*0.7))</f>
        <v>78.72274376</v>
      </c>
      <c r="BB132" s="88">
        <f>IF(AP132="", BB130, (AP132*0.3) + (BB130*0.7))</f>
        <v>3004.379928</v>
      </c>
      <c r="BC132" s="88">
        <f>IF(BB132="","", BB132*0.8)</f>
        <v>2403.503942</v>
      </c>
    </row>
    <row r="133" ht="15.75" customHeight="1">
      <c r="A133" s="16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4"/>
      <c r="O133" s="4"/>
      <c r="P133" s="4"/>
      <c r="Q133" s="4"/>
      <c r="R133" s="4"/>
      <c r="S133" s="5"/>
      <c r="T133" s="4"/>
      <c r="U133" s="5"/>
      <c r="V133" s="4"/>
      <c r="W133" s="4"/>
      <c r="X133" s="4"/>
      <c r="Y133" s="6"/>
      <c r="Z133" s="6"/>
      <c r="AA133" s="7"/>
      <c r="AB133" s="8"/>
      <c r="AC133" s="8"/>
      <c r="AD133" s="8"/>
      <c r="AE133" s="8"/>
      <c r="AF133" s="7"/>
      <c r="AG133" s="7"/>
      <c r="AH133" s="7"/>
      <c r="AI133" s="7"/>
      <c r="AJ133" s="7"/>
      <c r="AK133" s="7"/>
      <c r="AL133" s="7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</row>
    <row r="134" ht="15.75" customHeight="1">
      <c r="A134" s="16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4"/>
      <c r="O134" s="4"/>
      <c r="P134" s="4"/>
      <c r="Q134" s="4"/>
      <c r="R134" s="4"/>
      <c r="S134" s="5"/>
      <c r="T134" s="4"/>
      <c r="U134" s="5"/>
      <c r="V134" s="4"/>
      <c r="W134" s="4"/>
      <c r="X134" s="4"/>
      <c r="Y134" s="6"/>
      <c r="Z134" s="6"/>
      <c r="AA134" s="7"/>
      <c r="AB134" s="8"/>
      <c r="AC134" s="8" t="str">
        <f>IF(K134="",AC132,K134)</f>
        <v/>
      </c>
      <c r="AD134" s="8"/>
      <c r="AE134" s="8"/>
      <c r="AF134" s="7"/>
      <c r="AG134" s="7"/>
      <c r="AH134" s="7"/>
      <c r="AI134" s="7"/>
      <c r="AJ134" s="7"/>
      <c r="AK134" s="7"/>
      <c r="AL134" s="7"/>
      <c r="AM134" s="8"/>
      <c r="AN134" s="8"/>
      <c r="AO134" s="8"/>
      <c r="AP134" s="85">
        <f>IF(AB135=0,$AP132,IF(AB134=0,$AP132,((K135+(((-L134)*$AQ$7)/AB135)))+M132+M130+M128+M126+M124)/6)</f>
        <v>3004.379929</v>
      </c>
      <c r="AQ134" s="8"/>
      <c r="AR134" s="8"/>
      <c r="AS134" s="8"/>
      <c r="AT134" s="8"/>
      <c r="AU134" s="8"/>
      <c r="AV134" s="8"/>
      <c r="AW134" s="8"/>
      <c r="AX134" s="8"/>
      <c r="BA134" s="88">
        <f>IF(AM134="", BA132, (AM134*0.3) + (BA132*0.7))</f>
        <v>78.72274376</v>
      </c>
      <c r="BB134" s="88">
        <f>IF(AP134="", BB132, (AP134*0.3) + (BB132*0.7))</f>
        <v>3004.379928</v>
      </c>
      <c r="BC134" s="88">
        <f>IF(BB134="","", BB134*0.8)</f>
        <v>2403.503942</v>
      </c>
    </row>
    <row r="135" ht="15.75" customHeight="1">
      <c r="A135" s="16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4"/>
      <c r="O135" s="4"/>
      <c r="P135" s="4"/>
      <c r="Q135" s="4"/>
      <c r="R135" s="4"/>
      <c r="S135" s="5"/>
      <c r="T135" s="4"/>
      <c r="U135" s="5"/>
      <c r="V135" s="4"/>
      <c r="W135" s="4"/>
      <c r="X135" s="4"/>
      <c r="Y135" s="6"/>
      <c r="Z135" s="6"/>
      <c r="AA135" s="7"/>
      <c r="AB135" s="8"/>
      <c r="AC135" s="8"/>
      <c r="AD135" s="8"/>
      <c r="AE135" s="8"/>
      <c r="AF135" s="7"/>
      <c r="AG135" s="7"/>
      <c r="AH135" s="7"/>
      <c r="AI135" s="7"/>
      <c r="AJ135" s="7"/>
      <c r="AK135" s="7"/>
      <c r="AL135" s="7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</row>
    <row r="136" ht="15.75" customHeight="1">
      <c r="A136" s="16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4"/>
      <c r="O136" s="4"/>
      <c r="P136" s="4"/>
      <c r="Q136" s="4"/>
      <c r="R136" s="4"/>
      <c r="S136" s="5"/>
      <c r="T136" s="4"/>
      <c r="U136" s="5"/>
      <c r="V136" s="4"/>
      <c r="W136" s="4"/>
      <c r="X136" s="4"/>
      <c r="Y136" s="6"/>
      <c r="Z136" s="6"/>
      <c r="AA136" s="7"/>
      <c r="AB136" s="8"/>
      <c r="AC136" s="8" t="str">
        <f>IF(K136="",AC134,K136)</f>
        <v/>
      </c>
      <c r="AD136" s="8"/>
      <c r="AE136" s="8"/>
      <c r="AF136" s="7"/>
      <c r="AG136" s="7"/>
      <c r="AH136" s="7"/>
      <c r="AI136" s="7"/>
      <c r="AJ136" s="7"/>
      <c r="AK136" s="7"/>
      <c r="AL136" s="7"/>
      <c r="AM136" s="8"/>
      <c r="AN136" s="8"/>
      <c r="AO136" s="8"/>
      <c r="AP136" s="85">
        <f>IF(AB137=0,$AP134,IF(AB136=0,$AP134,((K137+(((-L136)*$AQ$7)/AB137)))+M134+M132+M130+M128+M126)/6)</f>
        <v>3004.379929</v>
      </c>
      <c r="AQ136" s="8"/>
      <c r="AR136" s="8"/>
      <c r="AS136" s="8"/>
      <c r="AT136" s="8"/>
      <c r="AU136" s="8"/>
      <c r="AV136" s="8"/>
      <c r="AW136" s="8"/>
      <c r="AX136" s="8"/>
      <c r="BA136" s="88">
        <f>IF(AM136="", BA134, (AM136*0.3) + (BA134*0.7))</f>
        <v>78.72274376</v>
      </c>
      <c r="BB136" s="88">
        <f>IF(AP136="", BB134, (AP136*0.3) + (BB134*0.7))</f>
        <v>3004.379928</v>
      </c>
      <c r="BC136" s="88">
        <f>IF(BB136="","", BB136*0.8)</f>
        <v>2403.503943</v>
      </c>
    </row>
    <row r="137" ht="15.75" customHeight="1">
      <c r="A137" s="16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4"/>
      <c r="O137" s="4"/>
      <c r="P137" s="4"/>
      <c r="Q137" s="4"/>
      <c r="R137" s="4"/>
      <c r="S137" s="5"/>
      <c r="T137" s="4"/>
      <c r="U137" s="5"/>
      <c r="V137" s="4"/>
      <c r="W137" s="4"/>
      <c r="X137" s="4"/>
      <c r="Y137" s="6"/>
      <c r="Z137" s="6"/>
      <c r="AA137" s="7"/>
      <c r="AB137" s="8"/>
      <c r="AC137" s="8"/>
      <c r="AD137" s="8"/>
      <c r="AE137" s="8"/>
      <c r="AF137" s="7"/>
      <c r="AG137" s="7"/>
      <c r="AH137" s="7"/>
      <c r="AI137" s="7"/>
      <c r="AJ137" s="7"/>
      <c r="AK137" s="7"/>
      <c r="AL137" s="7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</row>
    <row r="138" ht="15.75" customHeight="1">
      <c r="A138" s="16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4"/>
      <c r="O138" s="4"/>
      <c r="P138" s="4"/>
      <c r="Q138" s="4"/>
      <c r="R138" s="4"/>
      <c r="S138" s="5"/>
      <c r="T138" s="4"/>
      <c r="U138" s="5"/>
      <c r="V138" s="4"/>
      <c r="W138" s="4"/>
      <c r="X138" s="4"/>
      <c r="Y138" s="6"/>
      <c r="Z138" s="6"/>
      <c r="AA138" s="7"/>
      <c r="AB138" s="8"/>
      <c r="AC138" s="8" t="str">
        <f>IF(K138="",AC136,K138)</f>
        <v/>
      </c>
      <c r="AD138" s="8"/>
      <c r="AE138" s="8"/>
      <c r="AF138" s="7"/>
      <c r="AG138" s="7"/>
      <c r="AH138" s="7"/>
      <c r="AI138" s="7"/>
      <c r="AJ138" s="7"/>
      <c r="AK138" s="7"/>
      <c r="AL138" s="7"/>
      <c r="AM138" s="8"/>
      <c r="AN138" s="8"/>
      <c r="AO138" s="8"/>
      <c r="AP138" s="85">
        <f>IF(AB139=0,$AP136,IF(AB138=0,$AP136,((K139+(((-L138)*$AQ$7)/AB139)))+M136+M134+M132+M130+M128)/6)</f>
        <v>3004.379929</v>
      </c>
      <c r="AQ138" s="8"/>
      <c r="AR138" s="8"/>
      <c r="AS138" s="8"/>
      <c r="AT138" s="8"/>
      <c r="AU138" s="8"/>
      <c r="AV138" s="8"/>
      <c r="AW138" s="8"/>
      <c r="AX138" s="8"/>
      <c r="BA138" s="88">
        <f>IF(AM138="", BA136, (AM138*0.3) + (BA136*0.7))</f>
        <v>78.72274376</v>
      </c>
      <c r="BB138" s="88">
        <f>IF(AP138="", BB136, (AP138*0.3) + (BB136*0.7))</f>
        <v>3004.379928</v>
      </c>
      <c r="BC138" s="88">
        <f>IF(BB138="","", BB138*0.8)</f>
        <v>2403.503943</v>
      </c>
    </row>
    <row r="139" ht="15.75" customHeight="1">
      <c r="A139" s="16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4"/>
      <c r="O139" s="4"/>
      <c r="P139" s="4"/>
      <c r="Q139" s="4"/>
      <c r="R139" s="4"/>
      <c r="S139" s="5"/>
      <c r="T139" s="4"/>
      <c r="U139" s="5"/>
      <c r="V139" s="4"/>
      <c r="W139" s="4"/>
      <c r="X139" s="4"/>
      <c r="Y139" s="6"/>
      <c r="Z139" s="6"/>
      <c r="AA139" s="7"/>
      <c r="AB139" s="8"/>
      <c r="AC139" s="8"/>
      <c r="AD139" s="8"/>
      <c r="AE139" s="8"/>
      <c r="AF139" s="7"/>
      <c r="AG139" s="7"/>
      <c r="AH139" s="7"/>
      <c r="AI139" s="7"/>
      <c r="AJ139" s="7"/>
      <c r="AK139" s="7"/>
      <c r="AL139" s="7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</row>
    <row r="140" ht="15.75" customHeight="1">
      <c r="A140" s="16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4"/>
      <c r="O140" s="4"/>
      <c r="P140" s="4"/>
      <c r="Q140" s="4"/>
      <c r="R140" s="4"/>
      <c r="S140" s="5"/>
      <c r="T140" s="4"/>
      <c r="U140" s="5"/>
      <c r="V140" s="4"/>
      <c r="W140" s="4"/>
      <c r="X140" s="4"/>
      <c r="Y140" s="6"/>
      <c r="Z140" s="6"/>
      <c r="AA140" s="7"/>
      <c r="AB140" s="8"/>
      <c r="AC140" s="8" t="str">
        <f>IF(K140="",AC138,K140)</f>
        <v/>
      </c>
      <c r="AD140" s="8"/>
      <c r="AE140" s="8"/>
      <c r="AF140" s="7"/>
      <c r="AG140" s="7"/>
      <c r="AH140" s="7"/>
      <c r="AI140" s="7"/>
      <c r="AJ140" s="7"/>
      <c r="AK140" s="7"/>
      <c r="AL140" s="7"/>
      <c r="AM140" s="8"/>
      <c r="AN140" s="8"/>
      <c r="AO140" s="8"/>
      <c r="AP140" s="85">
        <f>IF(AB141=0,$AP138,IF(AB140=0,$AP138,((K141+(((-L140)*$AQ$7)/AB141)))+M138+M136+M134+M132+M130)/6)</f>
        <v>3004.379929</v>
      </c>
      <c r="AQ140" s="8"/>
      <c r="AR140" s="8"/>
      <c r="AS140" s="8"/>
      <c r="AT140" s="8"/>
      <c r="AU140" s="8"/>
      <c r="AV140" s="8"/>
      <c r="AW140" s="8"/>
      <c r="AX140" s="8"/>
      <c r="BA140" s="88">
        <f>IF(AM140="", BA138, (AM140*0.3) + (BA138*0.7))</f>
        <v>78.72274376</v>
      </c>
      <c r="BB140" s="88">
        <f>IF(AP140="", BB138, (AP140*0.3) + (BB138*0.7))</f>
        <v>3004.379928</v>
      </c>
      <c r="BC140" s="88">
        <f>IF(BB140="","", BB140*0.8)</f>
        <v>2403.503943</v>
      </c>
    </row>
    <row r="141" ht="15.75" customHeight="1">
      <c r="A141" s="16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4"/>
      <c r="O141" s="4"/>
      <c r="P141" s="4"/>
      <c r="Q141" s="4"/>
      <c r="R141" s="4"/>
      <c r="S141" s="5"/>
      <c r="T141" s="4"/>
      <c r="U141" s="5"/>
      <c r="V141" s="4"/>
      <c r="W141" s="4"/>
      <c r="X141" s="4"/>
      <c r="Y141" s="6"/>
      <c r="Z141" s="6"/>
      <c r="AA141" s="7"/>
      <c r="AB141" s="8"/>
      <c r="AC141" s="8"/>
      <c r="AD141" s="8"/>
      <c r="AE141" s="8"/>
      <c r="AF141" s="7"/>
      <c r="AG141" s="7"/>
      <c r="AH141" s="7"/>
      <c r="AI141" s="7"/>
      <c r="AJ141" s="7"/>
      <c r="AK141" s="7"/>
      <c r="AL141" s="7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</row>
    <row r="142" ht="15.75" customHeight="1">
      <c r="A142" s="16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4"/>
      <c r="O142" s="4"/>
      <c r="P142" s="4"/>
      <c r="Q142" s="4"/>
      <c r="R142" s="4"/>
      <c r="S142" s="5"/>
      <c r="T142" s="4"/>
      <c r="U142" s="5"/>
      <c r="V142" s="4"/>
      <c r="W142" s="4"/>
      <c r="X142" s="4"/>
      <c r="Y142" s="6"/>
      <c r="Z142" s="6"/>
      <c r="AA142" s="7"/>
      <c r="AB142" s="8"/>
      <c r="AC142" s="8" t="str">
        <f>IF(K142="",AC140,K142)</f>
        <v/>
      </c>
      <c r="AD142" s="8"/>
      <c r="AE142" s="8"/>
      <c r="AF142" s="7"/>
      <c r="AG142" s="7"/>
      <c r="AH142" s="7"/>
      <c r="AI142" s="7"/>
      <c r="AJ142" s="7"/>
      <c r="AK142" s="7"/>
      <c r="AL142" s="7"/>
      <c r="AM142" s="8"/>
      <c r="AN142" s="8"/>
      <c r="AO142" s="8"/>
      <c r="AP142" s="85">
        <f>IF(AB143=0,$AP140,IF(AB142=0,$AP140,((K143+(((-L142)*$AQ$7)/AB143)))+M140+M138+M136+M134+M132)/6)</f>
        <v>3004.379929</v>
      </c>
      <c r="AQ142" s="8"/>
      <c r="AR142" s="8"/>
      <c r="AS142" s="8"/>
      <c r="AT142" s="8"/>
      <c r="AU142" s="8"/>
      <c r="AV142" s="8"/>
      <c r="AW142" s="8"/>
      <c r="AX142" s="8"/>
      <c r="BA142" s="88">
        <f>IF(AM142="", BA140, (AM142*0.3) + (BA140*0.7))</f>
        <v>78.72274376</v>
      </c>
      <c r="BB142" s="88">
        <f>IF(AP142="", BB140, (AP142*0.3) + (BB140*0.7))</f>
        <v>3004.379928</v>
      </c>
      <c r="BC142" s="88">
        <f>IF(BB142="","", BB142*0.8)</f>
        <v>2403.503943</v>
      </c>
    </row>
    <row r="143" ht="15.75" customHeight="1">
      <c r="A143" s="16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4"/>
      <c r="O143" s="4"/>
      <c r="P143" s="4"/>
      <c r="Q143" s="4"/>
      <c r="R143" s="4"/>
      <c r="S143" s="5"/>
      <c r="T143" s="4"/>
      <c r="U143" s="5"/>
      <c r="V143" s="4"/>
      <c r="W143" s="4"/>
      <c r="X143" s="4"/>
      <c r="Y143" s="6"/>
      <c r="Z143" s="6"/>
      <c r="AA143" s="7"/>
      <c r="AB143" s="8"/>
      <c r="AC143" s="8"/>
      <c r="AD143" s="8"/>
      <c r="AE143" s="8"/>
      <c r="AF143" s="7"/>
      <c r="AG143" s="7"/>
      <c r="AH143" s="7"/>
      <c r="AI143" s="7"/>
      <c r="AJ143" s="7"/>
      <c r="AK143" s="7"/>
      <c r="AL143" s="7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</row>
    <row r="144" ht="15.75" customHeight="1">
      <c r="A144" s="16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4"/>
      <c r="O144" s="4"/>
      <c r="P144" s="4"/>
      <c r="Q144" s="4"/>
      <c r="R144" s="4"/>
      <c r="S144" s="5"/>
      <c r="T144" s="4"/>
      <c r="U144" s="5"/>
      <c r="V144" s="4"/>
      <c r="W144" s="4"/>
      <c r="X144" s="4"/>
      <c r="Y144" s="6"/>
      <c r="Z144" s="6"/>
      <c r="AA144" s="7"/>
      <c r="AB144" s="8"/>
      <c r="AC144" s="8"/>
      <c r="AD144" s="8"/>
      <c r="AE144" s="8"/>
      <c r="AF144" s="7"/>
      <c r="AG144" s="7"/>
      <c r="AH144" s="7"/>
      <c r="AI144" s="7"/>
      <c r="AJ144" s="7"/>
      <c r="AK144" s="7"/>
      <c r="AL144" s="7"/>
      <c r="AM144" s="8"/>
      <c r="AN144" s="8"/>
      <c r="AO144" s="8"/>
      <c r="AP144" s="85">
        <f>IF(AB145=0,$AP142,IF(AB144=0,$AP142,((K145+(((-L144)*$AQ$7)/AB145)))+M142+M140+M138+M136+M134)/6)</f>
        <v>3004.379929</v>
      </c>
      <c r="AQ144" s="8"/>
      <c r="AR144" s="8"/>
      <c r="AS144" s="8"/>
      <c r="AT144" s="8"/>
      <c r="AU144" s="8"/>
      <c r="AV144" s="8"/>
      <c r="AW144" s="8"/>
      <c r="AX144" s="8"/>
      <c r="BA144" s="88">
        <f>IF(AM144="", BA142, (AM144*0.3) + (BA142*0.7))</f>
        <v>78.72274376</v>
      </c>
      <c r="BB144" s="88">
        <f>IF(AP144="", BB142, (AP144*0.3) + (BB142*0.7))</f>
        <v>3004.379928</v>
      </c>
      <c r="BC144" s="88">
        <f>IF(BB144="","", BB144*0.8)</f>
        <v>2403.503943</v>
      </c>
    </row>
    <row r="145" ht="15.75" customHeight="1">
      <c r="A145" s="16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4"/>
      <c r="O145" s="4"/>
      <c r="P145" s="4"/>
      <c r="Q145" s="4"/>
      <c r="R145" s="4"/>
      <c r="S145" s="5"/>
      <c r="T145" s="4"/>
      <c r="U145" s="5"/>
      <c r="V145" s="4"/>
      <c r="W145" s="4"/>
      <c r="X145" s="4"/>
      <c r="Y145" s="6"/>
      <c r="Z145" s="6"/>
      <c r="AA145" s="7"/>
      <c r="AB145" s="8"/>
      <c r="AC145" s="8"/>
      <c r="AD145" s="8"/>
      <c r="AE145" s="8"/>
      <c r="AF145" s="7"/>
      <c r="AG145" s="7"/>
      <c r="AH145" s="7"/>
      <c r="AI145" s="7"/>
      <c r="AJ145" s="7"/>
      <c r="AK145" s="7"/>
      <c r="AL145" s="7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</row>
    <row r="146" ht="15.75" customHeight="1">
      <c r="A146" s="16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4"/>
      <c r="O146" s="4"/>
      <c r="P146" s="4"/>
      <c r="Q146" s="4"/>
      <c r="R146" s="4"/>
      <c r="S146" s="5"/>
      <c r="T146" s="4"/>
      <c r="U146" s="5"/>
      <c r="V146" s="4"/>
      <c r="W146" s="4"/>
      <c r="X146" s="4"/>
      <c r="Y146" s="6"/>
      <c r="Z146" s="6"/>
      <c r="AA146" s="7"/>
      <c r="AB146" s="8"/>
      <c r="AC146" s="8"/>
      <c r="AD146" s="8"/>
      <c r="AE146" s="8"/>
      <c r="AF146" s="7"/>
      <c r="AG146" s="7"/>
      <c r="AH146" s="7"/>
      <c r="AI146" s="7"/>
      <c r="AJ146" s="7"/>
      <c r="AK146" s="7"/>
      <c r="AL146" s="7"/>
      <c r="AM146" s="8"/>
      <c r="AN146" s="8"/>
      <c r="AO146" s="8"/>
      <c r="AP146" s="85">
        <f>IF(AB147=0,$AP144,IF(AB146=0,$AP144,((K147+(((-L146)*$AQ$7)/AB147)))+M144+M142+M140+M138+M136)/6)</f>
        <v>3004.379929</v>
      </c>
      <c r="AQ146" s="8"/>
      <c r="AR146" s="8"/>
      <c r="AS146" s="8"/>
      <c r="AT146" s="8"/>
      <c r="AU146" s="8"/>
      <c r="AV146" s="8"/>
      <c r="AW146" s="8"/>
      <c r="AX146" s="8"/>
      <c r="BA146" s="88">
        <f>IF(AM146="", BA144, (AM146*0.3) + (BA144*0.7))</f>
        <v>78.72274376</v>
      </c>
      <c r="BB146" s="88">
        <f>IF(AP146="", BB144, (AP146*0.3) + (BB144*0.7))</f>
        <v>3004.379929</v>
      </c>
      <c r="BC146" s="88">
        <f>IF(BB146="","", BB146*0.8)</f>
        <v>2403.503943</v>
      </c>
    </row>
    <row r="147" ht="15.75" customHeight="1">
      <c r="A147" s="16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4"/>
      <c r="O147" s="4"/>
      <c r="P147" s="4"/>
      <c r="Q147" s="4"/>
      <c r="R147" s="4"/>
      <c r="S147" s="5"/>
      <c r="T147" s="4"/>
      <c r="U147" s="5"/>
      <c r="V147" s="4"/>
      <c r="W147" s="4"/>
      <c r="X147" s="4"/>
      <c r="Y147" s="6"/>
      <c r="Z147" s="6"/>
      <c r="AA147" s="7"/>
      <c r="AB147" s="8"/>
      <c r="AC147" s="8"/>
      <c r="AD147" s="8"/>
      <c r="AE147" s="8"/>
      <c r="AF147" s="7"/>
      <c r="AG147" s="7"/>
      <c r="AH147" s="7"/>
      <c r="AI147" s="7"/>
      <c r="AJ147" s="7"/>
      <c r="AK147" s="7"/>
      <c r="AL147" s="7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</row>
    <row r="148" ht="15.75" customHeight="1">
      <c r="A148" s="16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4"/>
      <c r="O148" s="4"/>
      <c r="P148" s="4"/>
      <c r="Q148" s="4"/>
      <c r="R148" s="4"/>
      <c r="S148" s="5"/>
      <c r="T148" s="4"/>
      <c r="U148" s="5"/>
      <c r="V148" s="4"/>
      <c r="W148" s="4"/>
      <c r="X148" s="4"/>
      <c r="Y148" s="6"/>
      <c r="Z148" s="6"/>
      <c r="AA148" s="7"/>
      <c r="AB148" s="8"/>
      <c r="AC148" s="8"/>
      <c r="AD148" s="8"/>
      <c r="AE148" s="8"/>
      <c r="AF148" s="7"/>
      <c r="AG148" s="7"/>
      <c r="AH148" s="7"/>
      <c r="AI148" s="7"/>
      <c r="AJ148" s="7"/>
      <c r="AK148" s="7"/>
      <c r="AL148" s="7"/>
      <c r="AM148" s="8"/>
      <c r="AN148" s="8"/>
      <c r="AO148" s="8"/>
      <c r="AP148" s="85">
        <f>IF(AB149=0,$AP146,IF(AB148=0,$AP146,((K149+(((-L148)*$AQ$7)/AB149)))+M146+M144+M142+M140+M138)/6)</f>
        <v>3004.379929</v>
      </c>
      <c r="AQ148" s="8"/>
      <c r="AR148" s="8"/>
      <c r="AS148" s="8"/>
      <c r="AT148" s="8"/>
      <c r="AU148" s="8"/>
      <c r="AV148" s="8"/>
      <c r="AW148" s="8"/>
      <c r="AX148" s="8"/>
      <c r="BA148" s="88">
        <f>IF(AM148="", BA146, (AM148*0.3) + (BA146*0.7))</f>
        <v>78.72274376</v>
      </c>
      <c r="BB148" s="88">
        <f>IF(AP148="", BB146, (AP148*0.3) + (BB146*0.7))</f>
        <v>3004.379929</v>
      </c>
      <c r="BC148" s="88">
        <f>IF(BB148="","", BB148*0.8)</f>
        <v>2403.503943</v>
      </c>
    </row>
    <row r="149" ht="15.75" customHeight="1">
      <c r="A149" s="16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4"/>
      <c r="O149" s="4"/>
      <c r="P149" s="4"/>
      <c r="Q149" s="4"/>
      <c r="R149" s="4"/>
      <c r="S149" s="5"/>
      <c r="T149" s="4"/>
      <c r="U149" s="5"/>
      <c r="V149" s="4"/>
      <c r="W149" s="4"/>
      <c r="X149" s="4"/>
      <c r="Y149" s="6"/>
      <c r="Z149" s="6"/>
      <c r="AA149" s="7"/>
      <c r="AB149" s="8"/>
      <c r="AC149" s="8"/>
      <c r="AD149" s="8"/>
      <c r="AE149" s="8"/>
      <c r="AF149" s="7"/>
      <c r="AG149" s="7"/>
      <c r="AH149" s="7"/>
      <c r="AI149" s="7"/>
      <c r="AJ149" s="7"/>
      <c r="AK149" s="7"/>
      <c r="AL149" s="7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</row>
    <row r="150" ht="15.75" customHeight="1">
      <c r="A150" s="16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4"/>
      <c r="O150" s="4"/>
      <c r="P150" s="4"/>
      <c r="Q150" s="4"/>
      <c r="R150" s="4"/>
      <c r="S150" s="5"/>
      <c r="T150" s="4"/>
      <c r="U150" s="5"/>
      <c r="V150" s="4"/>
      <c r="W150" s="4"/>
      <c r="X150" s="4"/>
      <c r="Y150" s="6"/>
      <c r="Z150" s="6"/>
      <c r="AA150" s="7"/>
      <c r="AB150" s="8"/>
      <c r="AC150" s="8"/>
      <c r="AD150" s="8"/>
      <c r="AE150" s="8"/>
      <c r="AF150" s="7"/>
      <c r="AG150" s="7"/>
      <c r="AH150" s="7"/>
      <c r="AI150" s="7"/>
      <c r="AJ150" s="7"/>
      <c r="AK150" s="7"/>
      <c r="AL150" s="7"/>
      <c r="AM150" s="8"/>
      <c r="AN150" s="8"/>
      <c r="AO150" s="8"/>
      <c r="AP150" s="85">
        <f>IF(AB151=0,$AP148,IF(AB150=0,$AP148,((K151+(((-L150)*$AQ$7)/AB151)))+M148+M146+M144+M142+M140)/6)</f>
        <v>3004.379929</v>
      </c>
      <c r="AQ150" s="8"/>
      <c r="AR150" s="8"/>
      <c r="AS150" s="8"/>
      <c r="AT150" s="8"/>
      <c r="AU150" s="8"/>
      <c r="AV150" s="8"/>
      <c r="AW150" s="8"/>
      <c r="AX150" s="8"/>
      <c r="BA150" s="88">
        <f>IF(AM150="", BA148, (AM150*0.3) + (BA148*0.7))</f>
        <v>78.72274376</v>
      </c>
      <c r="BB150" s="88">
        <f>IF(AP150="", BB148, (AP150*0.3) + (BB148*0.7))</f>
        <v>3004.379929</v>
      </c>
      <c r="BC150" s="88">
        <f>IF(BB150="","", BB150*0.8)</f>
        <v>2403.503943</v>
      </c>
    </row>
    <row r="151" ht="15.75" customHeight="1">
      <c r="A151" s="16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4"/>
      <c r="O151" s="4"/>
      <c r="P151" s="4"/>
      <c r="Q151" s="4"/>
      <c r="R151" s="4"/>
      <c r="S151" s="5"/>
      <c r="T151" s="4"/>
      <c r="U151" s="5"/>
      <c r="V151" s="4"/>
      <c r="W151" s="4"/>
      <c r="X151" s="4"/>
      <c r="Y151" s="6"/>
      <c r="Z151" s="6"/>
      <c r="AA151" s="7"/>
      <c r="AB151" s="8"/>
      <c r="AC151" s="8"/>
      <c r="AD151" s="8"/>
      <c r="AE151" s="8"/>
      <c r="AF151" s="7"/>
      <c r="AG151" s="7"/>
      <c r="AH151" s="7"/>
      <c r="AI151" s="7"/>
      <c r="AJ151" s="7"/>
      <c r="AK151" s="7"/>
      <c r="AL151" s="7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</row>
    <row r="152" ht="15.75" customHeight="1">
      <c r="A152" s="16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4"/>
      <c r="O152" s="4"/>
      <c r="P152" s="4"/>
      <c r="Q152" s="4"/>
      <c r="R152" s="4"/>
      <c r="S152" s="5"/>
      <c r="T152" s="4"/>
      <c r="U152" s="5"/>
      <c r="V152" s="4"/>
      <c r="W152" s="4"/>
      <c r="X152" s="4"/>
      <c r="Y152" s="6"/>
      <c r="Z152" s="6"/>
      <c r="AA152" s="7"/>
      <c r="AB152" s="8"/>
      <c r="AC152" s="8"/>
      <c r="AD152" s="8"/>
      <c r="AE152" s="8"/>
      <c r="AF152" s="7"/>
      <c r="AG152" s="7"/>
      <c r="AH152" s="7"/>
      <c r="AI152" s="7"/>
      <c r="AJ152" s="7"/>
      <c r="AK152" s="7"/>
      <c r="AL152" s="7"/>
      <c r="AM152" s="8"/>
      <c r="AN152" s="8"/>
      <c r="AO152" s="8"/>
      <c r="AP152" s="85">
        <f>IF(AB153=0,$AP150,IF(AB152=0,$AP150,((K153+(((-L152)*$AQ$7)/AB153)))+M150+M148+M146+M144+M142)/6)</f>
        <v>3004.379929</v>
      </c>
      <c r="AQ152" s="8"/>
      <c r="AR152" s="8"/>
      <c r="AS152" s="8"/>
      <c r="AT152" s="8"/>
      <c r="AU152" s="8"/>
      <c r="AV152" s="8"/>
      <c r="AW152" s="8"/>
      <c r="AX152" s="8"/>
      <c r="BA152" s="88">
        <f>IF(AM152="", BA150, (AM152*0.3) + (BA150*0.7))</f>
        <v>78.72274376</v>
      </c>
      <c r="BB152" s="88">
        <f>IF(AP152="", BB150, (AP152*0.3) + (BB150*0.7))</f>
        <v>3004.379929</v>
      </c>
      <c r="BC152" s="88">
        <f>IF(BB152="","", BB152*0.8)</f>
        <v>2403.503943</v>
      </c>
    </row>
    <row r="153" ht="15.75" customHeight="1">
      <c r="A153" s="16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4"/>
      <c r="O153" s="4"/>
      <c r="P153" s="4"/>
      <c r="Q153" s="4"/>
      <c r="R153" s="4"/>
      <c r="S153" s="5"/>
      <c r="T153" s="4"/>
      <c r="U153" s="5"/>
      <c r="V153" s="4"/>
      <c r="W153" s="4"/>
      <c r="X153" s="4"/>
      <c r="Y153" s="6"/>
      <c r="Z153" s="6"/>
      <c r="AA153" s="7"/>
      <c r="AB153" s="8"/>
      <c r="AC153" s="8"/>
      <c r="AD153" s="8"/>
      <c r="AE153" s="8"/>
      <c r="AF153" s="7"/>
      <c r="AG153" s="7"/>
      <c r="AH153" s="7"/>
      <c r="AI153" s="7"/>
      <c r="AJ153" s="7"/>
      <c r="AK153" s="7"/>
      <c r="AL153" s="7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</row>
    <row r="154" ht="15.75" customHeight="1">
      <c r="A154" s="16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4"/>
      <c r="O154" s="4"/>
      <c r="P154" s="4"/>
      <c r="Q154" s="4"/>
      <c r="R154" s="4"/>
      <c r="S154" s="5"/>
      <c r="T154" s="4"/>
      <c r="U154" s="5"/>
      <c r="V154" s="4"/>
      <c r="W154" s="4"/>
      <c r="X154" s="4"/>
      <c r="Y154" s="6"/>
      <c r="Z154" s="6"/>
      <c r="AA154" s="7"/>
      <c r="AB154" s="8"/>
      <c r="AC154" s="8"/>
      <c r="AD154" s="8"/>
      <c r="AE154" s="8"/>
      <c r="AF154" s="7"/>
      <c r="AG154" s="7"/>
      <c r="AH154" s="7"/>
      <c r="AI154" s="7"/>
      <c r="AJ154" s="7"/>
      <c r="AK154" s="7"/>
      <c r="AL154" s="7"/>
      <c r="AM154" s="8"/>
      <c r="AN154" s="8"/>
      <c r="AO154" s="8"/>
      <c r="AP154" s="85">
        <f>IF(AB155=0,$AP152,IF(AB154=0,$AP152,((K155+(((-L154)*$AQ$7)/AB155)))+M152+M150+M148+M146+M144)/6)</f>
        <v>3004.379929</v>
      </c>
      <c r="AQ154" s="8"/>
      <c r="AR154" s="8"/>
      <c r="AS154" s="8"/>
      <c r="AT154" s="8"/>
      <c r="AU154" s="8"/>
      <c r="AV154" s="8"/>
      <c r="AW154" s="8"/>
      <c r="AX154" s="8"/>
      <c r="BA154" s="88">
        <f>IF(AM154="", BA152, (AM154*0.3) + (BA152*0.7))</f>
        <v>78.72274376</v>
      </c>
      <c r="BB154" s="88">
        <f>IF(AP154="", BB152, (AP154*0.3) + (BB152*0.7))</f>
        <v>3004.379929</v>
      </c>
      <c r="BC154" s="88">
        <f>IF(BB154="","", BB154*0.8)</f>
        <v>2403.503943</v>
      </c>
    </row>
    <row r="155" ht="15.75" customHeight="1">
      <c r="A155" s="16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4"/>
      <c r="O155" s="4"/>
      <c r="P155" s="4"/>
      <c r="Q155" s="4"/>
      <c r="R155" s="4"/>
      <c r="S155" s="5"/>
      <c r="T155" s="4"/>
      <c r="U155" s="5"/>
      <c r="V155" s="4"/>
      <c r="W155" s="4"/>
      <c r="X155" s="4"/>
      <c r="Y155" s="6"/>
      <c r="Z155" s="6"/>
      <c r="AA155" s="7"/>
      <c r="AB155" s="8"/>
      <c r="AC155" s="8"/>
      <c r="AD155" s="8"/>
      <c r="AE155" s="8"/>
      <c r="AF155" s="7"/>
      <c r="AG155" s="7"/>
      <c r="AH155" s="7"/>
      <c r="AI155" s="7"/>
      <c r="AJ155" s="7"/>
      <c r="AK155" s="7"/>
      <c r="AL155" s="7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</row>
    <row r="156" ht="15.75" customHeight="1">
      <c r="A156" s="16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4"/>
      <c r="O156" s="4"/>
      <c r="P156" s="4"/>
      <c r="Q156" s="4"/>
      <c r="R156" s="4"/>
      <c r="S156" s="5"/>
      <c r="T156" s="4"/>
      <c r="U156" s="5"/>
      <c r="V156" s="4"/>
      <c r="W156" s="4"/>
      <c r="X156" s="4"/>
      <c r="Y156" s="6"/>
      <c r="Z156" s="6"/>
      <c r="AA156" s="7"/>
      <c r="AB156" s="8"/>
      <c r="AC156" s="8"/>
      <c r="AD156" s="8"/>
      <c r="AE156" s="8"/>
      <c r="AF156" s="7"/>
      <c r="AG156" s="7"/>
      <c r="AH156" s="7"/>
      <c r="AI156" s="7"/>
      <c r="AJ156" s="7"/>
      <c r="AK156" s="7"/>
      <c r="AL156" s="7"/>
      <c r="AM156" s="8"/>
      <c r="AN156" s="8"/>
      <c r="AO156" s="8"/>
      <c r="AP156" s="85">
        <f>IF(AB157=0,$AP154,IF(AB156=0,$AP154,((K157+(((-L156)*$AQ$7)/AB157)))+M154+M152+M150+M148+M146)/6)</f>
        <v>3004.379929</v>
      </c>
      <c r="AQ156" s="8"/>
      <c r="AR156" s="8"/>
      <c r="AS156" s="8"/>
      <c r="AT156" s="8"/>
      <c r="AU156" s="8"/>
      <c r="AV156" s="8"/>
      <c r="AW156" s="8"/>
      <c r="AX156" s="8"/>
      <c r="BA156" s="88">
        <f>IF(AM156="", BA154, (AM156*0.3) + (BA154*0.7))</f>
        <v>78.72274376</v>
      </c>
      <c r="BB156" s="88">
        <f>IF(AP156="", BB154, (AP156*0.3) + (BB154*0.7))</f>
        <v>3004.379929</v>
      </c>
      <c r="BC156" s="88">
        <f>IF(BB156="","", BB156*0.8)</f>
        <v>2403.503943</v>
      </c>
    </row>
    <row r="157" ht="15.75" customHeight="1">
      <c r="A157" s="16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4"/>
      <c r="O157" s="4"/>
      <c r="P157" s="4"/>
      <c r="Q157" s="4"/>
      <c r="R157" s="4"/>
      <c r="S157" s="5"/>
      <c r="T157" s="4"/>
      <c r="U157" s="5"/>
      <c r="V157" s="4"/>
      <c r="W157" s="4"/>
      <c r="X157" s="4"/>
      <c r="Y157" s="6"/>
      <c r="Z157" s="6"/>
      <c r="AA157" s="7"/>
      <c r="AB157" s="8"/>
      <c r="AC157" s="8"/>
      <c r="AD157" s="8"/>
      <c r="AE157" s="8"/>
      <c r="AF157" s="7"/>
      <c r="AG157" s="7"/>
      <c r="AH157" s="7"/>
      <c r="AI157" s="7"/>
      <c r="AJ157" s="7"/>
      <c r="AK157" s="7"/>
      <c r="AL157" s="7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</row>
    <row r="158" ht="15.75" customHeight="1">
      <c r="A158" s="16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4"/>
      <c r="O158" s="4"/>
      <c r="P158" s="4"/>
      <c r="Q158" s="4"/>
      <c r="R158" s="4"/>
      <c r="S158" s="5"/>
      <c r="T158" s="4"/>
      <c r="U158" s="5"/>
      <c r="V158" s="4"/>
      <c r="W158" s="4"/>
      <c r="X158" s="4"/>
      <c r="Y158" s="6"/>
      <c r="Z158" s="6"/>
      <c r="AA158" s="7"/>
      <c r="AB158" s="8"/>
      <c r="AC158" s="8"/>
      <c r="AD158" s="8"/>
      <c r="AE158" s="8"/>
      <c r="AF158" s="7"/>
      <c r="AG158" s="7"/>
      <c r="AH158" s="7"/>
      <c r="AI158" s="7"/>
      <c r="AJ158" s="7"/>
      <c r="AK158" s="7"/>
      <c r="AL158" s="7"/>
      <c r="AM158" s="8"/>
      <c r="AN158" s="8"/>
      <c r="AO158" s="8"/>
      <c r="AP158" s="85">
        <f>IF(AB159=0,$AP156,IF(AB158=0,$AP156,((K159+(((-L158)*$AQ$7)/AB159)))+M156+M154+M152+M150+M148)/6)</f>
        <v>3004.379929</v>
      </c>
      <c r="AQ158" s="8"/>
      <c r="AR158" s="8"/>
      <c r="AS158" s="8"/>
      <c r="AT158" s="8"/>
      <c r="AU158" s="8"/>
      <c r="AV158" s="8"/>
      <c r="AW158" s="8"/>
      <c r="AX158" s="8"/>
      <c r="BA158" s="88">
        <f>IF(AM158="", BA156, (AM158*0.3) + (BA156*0.7))</f>
        <v>78.72274376</v>
      </c>
      <c r="BB158" s="88">
        <f>IF(AP158="", BB156, (AP158*0.3) + (BB156*0.7))</f>
        <v>3004.379929</v>
      </c>
      <c r="BC158" s="88">
        <f>IF(BB158="","", BB158*0.8)</f>
        <v>2403.503943</v>
      </c>
    </row>
    <row r="159" ht="15.75" customHeight="1">
      <c r="A159" s="16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4"/>
      <c r="O159" s="4"/>
      <c r="P159" s="4"/>
      <c r="Q159" s="4"/>
      <c r="R159" s="4"/>
      <c r="S159" s="5"/>
      <c r="T159" s="4"/>
      <c r="U159" s="5"/>
      <c r="V159" s="4"/>
      <c r="W159" s="4"/>
      <c r="X159" s="4"/>
      <c r="Y159" s="6"/>
      <c r="Z159" s="6"/>
      <c r="AA159" s="7"/>
      <c r="AB159" s="8"/>
      <c r="AC159" s="8"/>
      <c r="AD159" s="8"/>
      <c r="AE159" s="8"/>
      <c r="AF159" s="7"/>
      <c r="AG159" s="7"/>
      <c r="AH159" s="7"/>
      <c r="AI159" s="7"/>
      <c r="AJ159" s="7"/>
      <c r="AK159" s="7"/>
      <c r="AL159" s="7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</row>
    <row r="160" ht="15.75" customHeight="1">
      <c r="A160" s="16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4"/>
      <c r="O160" s="4"/>
      <c r="P160" s="4"/>
      <c r="Q160" s="4"/>
      <c r="R160" s="4"/>
      <c r="S160" s="5"/>
      <c r="T160" s="4"/>
      <c r="U160" s="5"/>
      <c r="V160" s="4"/>
      <c r="W160" s="4"/>
      <c r="X160" s="4"/>
      <c r="Y160" s="6"/>
      <c r="Z160" s="6"/>
      <c r="AA160" s="7"/>
      <c r="AB160" s="8"/>
      <c r="AC160" s="8"/>
      <c r="AD160" s="8"/>
      <c r="AE160" s="8"/>
      <c r="AF160" s="7"/>
      <c r="AG160" s="7"/>
      <c r="AH160" s="7"/>
      <c r="AI160" s="7"/>
      <c r="AJ160" s="7"/>
      <c r="AK160" s="7"/>
      <c r="AL160" s="7"/>
      <c r="AM160" s="8"/>
      <c r="AN160" s="8"/>
      <c r="AO160" s="8"/>
      <c r="AP160" s="85">
        <f>IF(AB161=0,$AP158,IF(AB160=0,$AP158,((K161+(((-L160)*$AQ$7)/AB161)))+M158+M156+M154+M152+M150)/6)</f>
        <v>3004.379929</v>
      </c>
      <c r="AQ160" s="8"/>
      <c r="AR160" s="8"/>
      <c r="AS160" s="8"/>
      <c r="AT160" s="8"/>
      <c r="AU160" s="8"/>
      <c r="AV160" s="8"/>
      <c r="AW160" s="8"/>
      <c r="AX160" s="8"/>
      <c r="BA160" s="88">
        <f>IF(AM160="", BA158, (AM160*0.3) + (BA158*0.7))</f>
        <v>78.72274376</v>
      </c>
      <c r="BB160" s="88">
        <f>IF(AP160="", BB158, (AP160*0.3) + (BB158*0.7))</f>
        <v>3004.379929</v>
      </c>
      <c r="BC160" s="88">
        <f>IF(BB160="","", BB160*0.8)</f>
        <v>2403.503943</v>
      </c>
    </row>
    <row r="161" ht="15.75" customHeight="1">
      <c r="A161" s="16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4"/>
      <c r="O161" s="4"/>
      <c r="P161" s="4"/>
      <c r="Q161" s="4"/>
      <c r="R161" s="4"/>
      <c r="S161" s="5"/>
      <c r="T161" s="4"/>
      <c r="U161" s="5"/>
      <c r="V161" s="4"/>
      <c r="W161" s="4"/>
      <c r="X161" s="4"/>
      <c r="Y161" s="6"/>
      <c r="Z161" s="6"/>
      <c r="AA161" s="7"/>
      <c r="AB161" s="8"/>
      <c r="AC161" s="8"/>
      <c r="AD161" s="8"/>
      <c r="AE161" s="8"/>
      <c r="AF161" s="7"/>
      <c r="AG161" s="7"/>
      <c r="AH161" s="7"/>
      <c r="AI161" s="7"/>
      <c r="AJ161" s="7"/>
      <c r="AK161" s="7"/>
      <c r="AL161" s="7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</row>
    <row r="162" ht="15.75" customHeight="1">
      <c r="A162" s="16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4"/>
      <c r="O162" s="4"/>
      <c r="P162" s="4"/>
      <c r="Q162" s="4"/>
      <c r="R162" s="4"/>
      <c r="S162" s="5"/>
      <c r="T162" s="4"/>
      <c r="U162" s="5"/>
      <c r="V162" s="4"/>
      <c r="W162" s="4"/>
      <c r="X162" s="4"/>
      <c r="Y162" s="6"/>
      <c r="Z162" s="6"/>
      <c r="AA162" s="7"/>
      <c r="AB162" s="8"/>
      <c r="AC162" s="8"/>
      <c r="AD162" s="8"/>
      <c r="AE162" s="8"/>
      <c r="AF162" s="7"/>
      <c r="AG162" s="7"/>
      <c r="AH162" s="7"/>
      <c r="AI162" s="7"/>
      <c r="AJ162" s="7"/>
      <c r="AK162" s="7"/>
      <c r="AL162" s="7"/>
      <c r="AM162" s="8"/>
      <c r="AN162" s="8"/>
      <c r="AO162" s="8"/>
      <c r="AP162" s="85">
        <f>IF(AB163=0,$AP160,IF(AB162=0,$AP160,((K163+(((-L162)*$AQ$7)/AB163)))+M160+M158+M156+M154+M152)/6)</f>
        <v>3004.379929</v>
      </c>
      <c r="AQ162" s="8"/>
      <c r="AR162" s="8"/>
      <c r="AS162" s="8"/>
      <c r="AT162" s="8"/>
      <c r="AU162" s="8"/>
      <c r="AV162" s="8"/>
      <c r="AW162" s="8"/>
      <c r="AX162" s="8"/>
      <c r="BA162" s="88">
        <f>IF(AM162="", BA160, (AM162*0.3) + (BA160*0.7))</f>
        <v>78.72274376</v>
      </c>
      <c r="BB162" s="88">
        <f>IF(AP162="", BB160, (AP162*0.3) + (BB160*0.7))</f>
        <v>3004.379929</v>
      </c>
      <c r="BC162" s="88">
        <f>IF(BB162="","", BB162*0.8)</f>
        <v>2403.503943</v>
      </c>
    </row>
    <row r="163" ht="15.75" customHeight="1">
      <c r="A163" s="16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4"/>
      <c r="O163" s="4"/>
      <c r="P163" s="4"/>
      <c r="Q163" s="4"/>
      <c r="R163" s="4"/>
      <c r="S163" s="5"/>
      <c r="T163" s="4"/>
      <c r="U163" s="5"/>
      <c r="V163" s="4"/>
      <c r="W163" s="4"/>
      <c r="X163" s="4"/>
      <c r="Y163" s="6"/>
      <c r="Z163" s="6"/>
      <c r="AA163" s="7"/>
      <c r="AB163" s="8"/>
      <c r="AC163" s="8"/>
      <c r="AD163" s="8"/>
      <c r="AE163" s="8"/>
      <c r="AF163" s="7"/>
      <c r="AG163" s="7"/>
      <c r="AH163" s="7"/>
      <c r="AI163" s="7"/>
      <c r="AJ163" s="7"/>
      <c r="AK163" s="7"/>
      <c r="AL163" s="7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</row>
    <row r="164" ht="15.75" customHeight="1">
      <c r="A164" s="16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4"/>
      <c r="O164" s="4"/>
      <c r="P164" s="4"/>
      <c r="Q164" s="4"/>
      <c r="R164" s="4"/>
      <c r="S164" s="5"/>
      <c r="T164" s="4"/>
      <c r="U164" s="5"/>
      <c r="V164" s="4"/>
      <c r="W164" s="4"/>
      <c r="X164" s="4"/>
      <c r="Y164" s="6"/>
      <c r="Z164" s="6"/>
      <c r="AA164" s="7"/>
      <c r="AB164" s="8"/>
      <c r="AC164" s="8"/>
      <c r="AD164" s="8"/>
      <c r="AE164" s="8"/>
      <c r="AF164" s="7"/>
      <c r="AG164" s="7"/>
      <c r="AH164" s="7"/>
      <c r="AI164" s="7"/>
      <c r="AJ164" s="7"/>
      <c r="AK164" s="7"/>
      <c r="AL164" s="7"/>
      <c r="AM164" s="8"/>
      <c r="AN164" s="8"/>
      <c r="AO164" s="8"/>
      <c r="AP164" s="85">
        <f>IF(AB165=0,$AP162,IF(AB164=0,$AP162,((K165+(((-L164)*$AQ$7)/AB165)))+M162+M160+M158+M156+M154)/6)</f>
        <v>3004.379929</v>
      </c>
      <c r="AQ164" s="8"/>
      <c r="AR164" s="8"/>
      <c r="AS164" s="8"/>
      <c r="AT164" s="8"/>
      <c r="AU164" s="8"/>
      <c r="AV164" s="8"/>
      <c r="AW164" s="8"/>
      <c r="AX164" s="8"/>
      <c r="BA164" s="88">
        <f>IF(AM164="", BA162, (AM164*0.3) + (BA162*0.7))</f>
        <v>78.72274376</v>
      </c>
      <c r="BB164" s="88">
        <f>IF(AP164="", BB162, (AP164*0.3) + (BB162*0.7))</f>
        <v>3004.379929</v>
      </c>
      <c r="BC164" s="88">
        <f>IF(BB164="","", BB164*0.8)</f>
        <v>2403.503943</v>
      </c>
    </row>
    <row r="165" ht="15.75" customHeight="1">
      <c r="A165" s="16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4"/>
      <c r="O165" s="4"/>
      <c r="P165" s="4"/>
      <c r="Q165" s="4"/>
      <c r="R165" s="4"/>
      <c r="S165" s="5"/>
      <c r="T165" s="4"/>
      <c r="U165" s="5"/>
      <c r="V165" s="4"/>
      <c r="W165" s="4"/>
      <c r="X165" s="4"/>
      <c r="Y165" s="6"/>
      <c r="Z165" s="6"/>
      <c r="AA165" s="7"/>
      <c r="AB165" s="8"/>
      <c r="AC165" s="8"/>
      <c r="AD165" s="8"/>
      <c r="AE165" s="8"/>
      <c r="AF165" s="7"/>
      <c r="AG165" s="7"/>
      <c r="AH165" s="7"/>
      <c r="AI165" s="7"/>
      <c r="AJ165" s="7"/>
      <c r="AK165" s="7"/>
      <c r="AL165" s="7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</row>
    <row r="166" ht="15.75" customHeight="1">
      <c r="A166" s="16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4"/>
      <c r="O166" s="4"/>
      <c r="P166" s="4"/>
      <c r="Q166" s="4"/>
      <c r="R166" s="4"/>
      <c r="S166" s="5"/>
      <c r="T166" s="4"/>
      <c r="U166" s="5"/>
      <c r="V166" s="4"/>
      <c r="W166" s="4"/>
      <c r="X166" s="4"/>
      <c r="Y166" s="6"/>
      <c r="Z166" s="6"/>
      <c r="AA166" s="7"/>
      <c r="AB166" s="8"/>
      <c r="AC166" s="8"/>
      <c r="AD166" s="8"/>
      <c r="AE166" s="8"/>
      <c r="AF166" s="7"/>
      <c r="AG166" s="7"/>
      <c r="AH166" s="7"/>
      <c r="AI166" s="7"/>
      <c r="AJ166" s="7"/>
      <c r="AK166" s="7"/>
      <c r="AL166" s="7"/>
      <c r="AM166" s="8"/>
      <c r="AN166" s="8"/>
      <c r="AO166" s="8"/>
      <c r="AP166" s="85">
        <f>IF(AB167=0,$AP164,IF(AB166=0,$AP164,((K167+(((-L166)*$AQ$7)/AB167)))+M164+M162+M160+M158+M156)/6)</f>
        <v>3004.379929</v>
      </c>
      <c r="AQ166" s="8"/>
      <c r="AR166" s="8"/>
      <c r="AS166" s="8"/>
      <c r="AT166" s="8"/>
      <c r="AU166" s="8"/>
      <c r="AV166" s="8"/>
      <c r="AW166" s="8"/>
      <c r="AX166" s="8"/>
      <c r="BA166" s="88">
        <f>IF(AM166="", BA164, (AM166*0.3) + (BA164*0.7))</f>
        <v>78.72274376</v>
      </c>
      <c r="BB166" s="88">
        <f>IF(AP166="", BB164, (AP166*0.3) + (BB164*0.7))</f>
        <v>3004.379929</v>
      </c>
      <c r="BC166" s="88">
        <f>IF(BB166="","", BB166*0.8)</f>
        <v>2403.503943</v>
      </c>
    </row>
    <row r="167" ht="15.75" customHeight="1">
      <c r="A167" s="16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4"/>
      <c r="O167" s="4"/>
      <c r="P167" s="4"/>
      <c r="Q167" s="4"/>
      <c r="R167" s="4"/>
      <c r="S167" s="5"/>
      <c r="T167" s="4"/>
      <c r="U167" s="5"/>
      <c r="V167" s="4"/>
      <c r="W167" s="4"/>
      <c r="X167" s="4"/>
      <c r="Y167" s="6"/>
      <c r="Z167" s="6"/>
      <c r="AA167" s="7"/>
      <c r="AB167" s="8"/>
      <c r="AC167" s="8"/>
      <c r="AD167" s="8"/>
      <c r="AE167" s="8"/>
      <c r="AF167" s="7"/>
      <c r="AG167" s="7"/>
      <c r="AH167" s="7"/>
      <c r="AI167" s="7"/>
      <c r="AJ167" s="7"/>
      <c r="AK167" s="7"/>
      <c r="AL167" s="7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</row>
    <row r="168" ht="15.75" customHeight="1">
      <c r="A168" s="16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4"/>
      <c r="O168" s="4"/>
      <c r="P168" s="4"/>
      <c r="Q168" s="4"/>
      <c r="R168" s="4"/>
      <c r="S168" s="5"/>
      <c r="T168" s="4"/>
      <c r="U168" s="5"/>
      <c r="V168" s="4"/>
      <c r="W168" s="4"/>
      <c r="X168" s="4"/>
      <c r="Y168" s="6"/>
      <c r="Z168" s="6"/>
      <c r="AA168" s="7"/>
      <c r="AB168" s="8"/>
      <c r="AC168" s="8"/>
      <c r="AD168" s="8"/>
      <c r="AE168" s="8"/>
      <c r="AF168" s="7"/>
      <c r="AG168" s="7"/>
      <c r="AH168" s="7"/>
      <c r="AI168" s="7"/>
      <c r="AJ168" s="7"/>
      <c r="AK168" s="7"/>
      <c r="AL168" s="7"/>
      <c r="AM168" s="8"/>
      <c r="AN168" s="8"/>
      <c r="AO168" s="8"/>
      <c r="AP168" s="85">
        <f>IF(AB169=0,$AP166,IF(AB168=0,$AP166,((K169+(((-L168)*$AQ$7)/AB169)))+M166+M164+M162+M160+M158)/6)</f>
        <v>3004.379929</v>
      </c>
      <c r="AQ168" s="8"/>
      <c r="AR168" s="8"/>
      <c r="AS168" s="8"/>
      <c r="AT168" s="8"/>
      <c r="AU168" s="8"/>
      <c r="AV168" s="8"/>
      <c r="AW168" s="8"/>
      <c r="AX168" s="8"/>
      <c r="BA168" s="88">
        <f>IF(AM168="", BA166, (AM168*0.3) + (BA166*0.7))</f>
        <v>78.72274376</v>
      </c>
      <c r="BB168" s="88">
        <f>IF(AP168="", BB166, (AP168*0.3) + (BB166*0.7))</f>
        <v>3004.379929</v>
      </c>
      <c r="BC168" s="88">
        <f>IF(BB168="","", BB168*0.8)</f>
        <v>2403.503943</v>
      </c>
    </row>
    <row r="169" ht="15.75" customHeight="1">
      <c r="A169" s="16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4"/>
      <c r="O169" s="4"/>
      <c r="P169" s="4"/>
      <c r="Q169" s="4"/>
      <c r="R169" s="4"/>
      <c r="S169" s="5"/>
      <c r="T169" s="4"/>
      <c r="U169" s="5"/>
      <c r="V169" s="4"/>
      <c r="W169" s="4"/>
      <c r="X169" s="4"/>
      <c r="Y169" s="6"/>
      <c r="Z169" s="6"/>
      <c r="AA169" s="7"/>
      <c r="AB169" s="8"/>
      <c r="AC169" s="8"/>
      <c r="AD169" s="8"/>
      <c r="AE169" s="8"/>
      <c r="AF169" s="7"/>
      <c r="AG169" s="7"/>
      <c r="AH169" s="7"/>
      <c r="AI169" s="7"/>
      <c r="AJ169" s="7"/>
      <c r="AK169" s="7"/>
      <c r="AL169" s="7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</row>
    <row r="170" ht="15.75" customHeight="1">
      <c r="A170" s="16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4"/>
      <c r="O170" s="4"/>
      <c r="P170" s="4"/>
      <c r="Q170" s="4"/>
      <c r="R170" s="4"/>
      <c r="S170" s="5"/>
      <c r="T170" s="4"/>
      <c r="U170" s="5"/>
      <c r="V170" s="4"/>
      <c r="W170" s="4"/>
      <c r="X170" s="4"/>
      <c r="Y170" s="6"/>
      <c r="Z170" s="6"/>
      <c r="AA170" s="7"/>
      <c r="AB170" s="8"/>
      <c r="AC170" s="8"/>
      <c r="AD170" s="8"/>
      <c r="AE170" s="8"/>
      <c r="AF170" s="7"/>
      <c r="AG170" s="7"/>
      <c r="AH170" s="7"/>
      <c r="AI170" s="7"/>
      <c r="AJ170" s="7"/>
      <c r="AK170" s="7"/>
      <c r="AL170" s="7"/>
      <c r="AM170" s="8"/>
      <c r="AN170" s="8"/>
      <c r="AO170" s="8"/>
      <c r="AP170" s="85">
        <f>IF(AB171=0,$AP168,IF(AB170=0,$AP168,((K171+(((-L170)*$AQ$7)/AB171)))+M168+M166+M164+M162+M160)/6)</f>
        <v>3004.379929</v>
      </c>
      <c r="AQ170" s="8"/>
      <c r="AR170" s="8"/>
      <c r="AS170" s="8"/>
      <c r="AT170" s="8"/>
      <c r="AU170" s="8"/>
      <c r="AV170" s="8"/>
      <c r="AW170" s="8"/>
      <c r="AX170" s="8"/>
      <c r="BA170" s="88">
        <f>IF(AM170="", BA168, (AM170*0.3) + (BA168*0.7))</f>
        <v>78.72274376</v>
      </c>
      <c r="BB170" s="88">
        <f>IF(AP170="", BB168, (AP170*0.3) + (BB168*0.7))</f>
        <v>3004.379929</v>
      </c>
      <c r="BC170" s="88">
        <f>IF(BB170="","", BB170*0.8)</f>
        <v>2403.503943</v>
      </c>
    </row>
    <row r="171" ht="15.75" customHeight="1">
      <c r="A171" s="16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4"/>
      <c r="O171" s="4"/>
      <c r="P171" s="4"/>
      <c r="Q171" s="4"/>
      <c r="R171" s="4"/>
      <c r="S171" s="5"/>
      <c r="T171" s="4"/>
      <c r="U171" s="5"/>
      <c r="V171" s="4"/>
      <c r="W171" s="4"/>
      <c r="X171" s="4"/>
      <c r="Y171" s="6"/>
      <c r="Z171" s="6"/>
      <c r="AA171" s="7"/>
      <c r="AB171" s="8"/>
      <c r="AC171" s="8"/>
      <c r="AD171" s="8"/>
      <c r="AE171" s="8"/>
      <c r="AF171" s="7"/>
      <c r="AG171" s="7"/>
      <c r="AH171" s="7"/>
      <c r="AI171" s="7"/>
      <c r="AJ171" s="7"/>
      <c r="AK171" s="7"/>
      <c r="AL171" s="7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</row>
    <row r="172" ht="15.75" customHeight="1">
      <c r="A172" s="16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4"/>
      <c r="O172" s="4"/>
      <c r="P172" s="4"/>
      <c r="Q172" s="4"/>
      <c r="R172" s="4"/>
      <c r="S172" s="5"/>
      <c r="T172" s="4"/>
      <c r="U172" s="5"/>
      <c r="V172" s="4"/>
      <c r="W172" s="4"/>
      <c r="X172" s="4"/>
      <c r="Y172" s="6"/>
      <c r="Z172" s="6"/>
      <c r="AA172" s="7"/>
      <c r="AB172" s="8"/>
      <c r="AC172" s="8"/>
      <c r="AD172" s="8"/>
      <c r="AE172" s="8"/>
      <c r="AF172" s="7"/>
      <c r="AG172" s="7"/>
      <c r="AH172" s="7"/>
      <c r="AI172" s="7"/>
      <c r="AJ172" s="7"/>
      <c r="AK172" s="7"/>
      <c r="AL172" s="7"/>
      <c r="AM172" s="8"/>
      <c r="AN172" s="8"/>
      <c r="AO172" s="8"/>
      <c r="AP172" s="85">
        <f>IF(AB173=0,$AP170,IF(AB172=0,$AP170,((K173+(((-L172)*$AQ$7)/AB173)))+M170+M168+M166+M164+M162)/6)</f>
        <v>3004.379929</v>
      </c>
      <c r="AQ172" s="8"/>
      <c r="AR172" s="8"/>
      <c r="AS172" s="8"/>
      <c r="AT172" s="8"/>
      <c r="AU172" s="8"/>
      <c r="AV172" s="8"/>
      <c r="AW172" s="8"/>
      <c r="AX172" s="8"/>
      <c r="BA172" s="88">
        <f>IF(AM172="", BA170, (AM172*0.3) + (BA170*0.7))</f>
        <v>78.72274376</v>
      </c>
      <c r="BB172" s="88">
        <f>IF(AP172="", BB170, (AP172*0.3) + (BB170*0.7))</f>
        <v>3004.379929</v>
      </c>
      <c r="BC172" s="88">
        <f>IF(BB172="","", BB172*0.8)</f>
        <v>2403.503943</v>
      </c>
    </row>
    <row r="173" ht="15.75" customHeight="1">
      <c r="A173" s="16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4"/>
      <c r="O173" s="4"/>
      <c r="P173" s="4"/>
      <c r="Q173" s="4"/>
      <c r="R173" s="4"/>
      <c r="S173" s="5"/>
      <c r="T173" s="4"/>
      <c r="U173" s="5"/>
      <c r="V173" s="4"/>
      <c r="W173" s="4"/>
      <c r="X173" s="4"/>
      <c r="Y173" s="6"/>
      <c r="Z173" s="6"/>
      <c r="AA173" s="7"/>
      <c r="AB173" s="8"/>
      <c r="AC173" s="8"/>
      <c r="AD173" s="8"/>
      <c r="AE173" s="8"/>
      <c r="AF173" s="7"/>
      <c r="AG173" s="7"/>
      <c r="AH173" s="7"/>
      <c r="AI173" s="7"/>
      <c r="AJ173" s="7"/>
      <c r="AK173" s="7"/>
      <c r="AL173" s="7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</row>
    <row r="174" ht="15.75" customHeight="1">
      <c r="A174" s="16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4"/>
      <c r="O174" s="4"/>
      <c r="P174" s="4"/>
      <c r="Q174" s="4"/>
      <c r="R174" s="4"/>
      <c r="S174" s="5"/>
      <c r="T174" s="4"/>
      <c r="U174" s="5"/>
      <c r="V174" s="4"/>
      <c r="W174" s="4"/>
      <c r="X174" s="4"/>
      <c r="Y174" s="6"/>
      <c r="Z174" s="6"/>
      <c r="AA174" s="7"/>
      <c r="AB174" s="8"/>
      <c r="AC174" s="8"/>
      <c r="AD174" s="8"/>
      <c r="AE174" s="8"/>
      <c r="AF174" s="7"/>
      <c r="AG174" s="7"/>
      <c r="AH174" s="7"/>
      <c r="AI174" s="7"/>
      <c r="AJ174" s="7"/>
      <c r="AK174" s="7"/>
      <c r="AL174" s="7"/>
      <c r="AM174" s="8"/>
      <c r="AN174" s="8"/>
      <c r="AO174" s="8"/>
      <c r="AP174" s="85">
        <f>IF(AB175=0,$AP172,IF(AB174=0,$AP172,((K175+(((-L174)*$AQ$7)/AB175)))+M172+M170+M168+M166+M164)/6)</f>
        <v>3004.379929</v>
      </c>
      <c r="AQ174" s="8"/>
      <c r="AR174" s="8"/>
      <c r="AS174" s="8"/>
      <c r="AT174" s="8"/>
      <c r="AU174" s="8"/>
      <c r="AV174" s="8"/>
      <c r="AW174" s="8"/>
      <c r="AX174" s="8"/>
      <c r="BA174" s="88">
        <f>IF(AM174="", BA172, (AM174*0.3) + (BA172*0.7))</f>
        <v>78.72274376</v>
      </c>
      <c r="BB174" s="88">
        <f>IF(AP174="", BB172, (AP174*0.3) + (BB172*0.7))</f>
        <v>3004.379929</v>
      </c>
      <c r="BC174" s="88">
        <f>IF(BB174="","", BB174*0.8)</f>
        <v>2403.503943</v>
      </c>
    </row>
    <row r="175" ht="15.75" customHeight="1">
      <c r="A175" s="16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4"/>
      <c r="O175" s="4"/>
      <c r="P175" s="4"/>
      <c r="Q175" s="4"/>
      <c r="R175" s="4"/>
      <c r="S175" s="5"/>
      <c r="T175" s="4"/>
      <c r="U175" s="5"/>
      <c r="V175" s="4"/>
      <c r="W175" s="4"/>
      <c r="X175" s="4"/>
      <c r="Y175" s="6"/>
      <c r="Z175" s="6"/>
      <c r="AA175" s="7"/>
      <c r="AB175" s="8"/>
      <c r="AC175" s="8"/>
      <c r="AD175" s="8"/>
      <c r="AE175" s="8"/>
      <c r="AF175" s="7"/>
      <c r="AG175" s="7"/>
      <c r="AH175" s="7"/>
      <c r="AI175" s="7"/>
      <c r="AJ175" s="7"/>
      <c r="AK175" s="7"/>
      <c r="AL175" s="7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</row>
    <row r="176" ht="15.75" customHeight="1">
      <c r="A176" s="16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4"/>
      <c r="O176" s="4"/>
      <c r="P176" s="4"/>
      <c r="Q176" s="4"/>
      <c r="R176" s="4"/>
      <c r="S176" s="5"/>
      <c r="T176" s="4"/>
      <c r="U176" s="5"/>
      <c r="V176" s="4"/>
      <c r="W176" s="4"/>
      <c r="X176" s="4"/>
      <c r="Y176" s="6"/>
      <c r="Z176" s="6"/>
      <c r="AA176" s="7"/>
      <c r="AB176" s="8"/>
      <c r="AC176" s="8"/>
      <c r="AD176" s="8"/>
      <c r="AE176" s="8"/>
      <c r="AF176" s="7"/>
      <c r="AG176" s="7"/>
      <c r="AH176" s="7"/>
      <c r="AI176" s="7"/>
      <c r="AJ176" s="7"/>
      <c r="AK176" s="7"/>
      <c r="AL176" s="7"/>
      <c r="AM176" s="8"/>
      <c r="AN176" s="8"/>
      <c r="AO176" s="8"/>
      <c r="AP176" s="85">
        <f>IF(AB177=0,$AP174,IF(AB176=0,$AP174,((K177+(((-L176)*$AQ$7)/AB177)))+M174+M172+M170+M168+M166)/6)</f>
        <v>3004.379929</v>
      </c>
      <c r="AQ176" s="8"/>
      <c r="AR176" s="8"/>
      <c r="AS176" s="8"/>
      <c r="AT176" s="8"/>
      <c r="AU176" s="8"/>
      <c r="AV176" s="8"/>
      <c r="AW176" s="8"/>
      <c r="AX176" s="8"/>
      <c r="BA176" s="88">
        <f>IF(AM176="", BA174, (AM176*0.3) + (BA174*0.7))</f>
        <v>78.72274376</v>
      </c>
      <c r="BB176" s="88">
        <f>IF(AP176="", BB174, (AP176*0.3) + (BB174*0.7))</f>
        <v>3004.379929</v>
      </c>
      <c r="BC176" s="88">
        <f>IF(BB176="","", BB176*0.8)</f>
        <v>2403.503943</v>
      </c>
    </row>
    <row r="177" ht="15.75" customHeight="1">
      <c r="A177" s="16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4"/>
      <c r="O177" s="4"/>
      <c r="P177" s="4"/>
      <c r="Q177" s="4"/>
      <c r="R177" s="4"/>
      <c r="S177" s="5"/>
      <c r="T177" s="4"/>
      <c r="U177" s="5"/>
      <c r="V177" s="4"/>
      <c r="W177" s="4"/>
      <c r="X177" s="4"/>
      <c r="Y177" s="6"/>
      <c r="Z177" s="6"/>
      <c r="AA177" s="7"/>
      <c r="AB177" s="8"/>
      <c r="AC177" s="8"/>
      <c r="AD177" s="8"/>
      <c r="AE177" s="8"/>
      <c r="AF177" s="7"/>
      <c r="AG177" s="7"/>
      <c r="AH177" s="7"/>
      <c r="AI177" s="7"/>
      <c r="AJ177" s="7"/>
      <c r="AK177" s="7"/>
      <c r="AL177" s="7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</row>
    <row r="178" ht="15.75" customHeight="1">
      <c r="A178" s="16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4"/>
      <c r="O178" s="4"/>
      <c r="P178" s="4"/>
      <c r="Q178" s="4"/>
      <c r="R178" s="4"/>
      <c r="S178" s="5"/>
      <c r="T178" s="4"/>
      <c r="U178" s="5"/>
      <c r="V178" s="4"/>
      <c r="W178" s="4"/>
      <c r="X178" s="4"/>
      <c r="Y178" s="6"/>
      <c r="Z178" s="6"/>
      <c r="AA178" s="7"/>
      <c r="AB178" s="8"/>
      <c r="AC178" s="8"/>
      <c r="AD178" s="8"/>
      <c r="AE178" s="8"/>
      <c r="AF178" s="7"/>
      <c r="AG178" s="7"/>
      <c r="AH178" s="7"/>
      <c r="AI178" s="7"/>
      <c r="AJ178" s="7"/>
      <c r="AK178" s="7"/>
      <c r="AL178" s="7"/>
      <c r="AM178" s="8"/>
      <c r="AN178" s="8"/>
      <c r="AO178" s="8"/>
      <c r="AP178" s="85">
        <f>IF(AB179=0,$AP176,IF(AB178=0,$AP176,((K179+(((-L178)*$AQ$7)/AB179)))+M176+M174+M172+M170+M168)/6)</f>
        <v>3004.379929</v>
      </c>
      <c r="AQ178" s="8"/>
      <c r="AR178" s="8"/>
      <c r="AS178" s="8"/>
      <c r="AT178" s="8"/>
      <c r="AU178" s="8"/>
      <c r="AV178" s="8"/>
      <c r="AW178" s="8"/>
      <c r="AX178" s="8"/>
      <c r="BA178" s="88">
        <f>IF(AM178="", BA176, (AM178*0.3) + (BA176*0.7))</f>
        <v>78.72274376</v>
      </c>
      <c r="BB178" s="88">
        <f>IF(AP178="", BB176, (AP178*0.3) + (BB176*0.7))</f>
        <v>3004.379929</v>
      </c>
      <c r="BC178" s="88">
        <f>IF(BB178="","", BB178*0.8)</f>
        <v>2403.503943</v>
      </c>
    </row>
    <row r="179" ht="15.75" customHeight="1">
      <c r="A179" s="16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4"/>
      <c r="O179" s="4"/>
      <c r="P179" s="4"/>
      <c r="Q179" s="4"/>
      <c r="R179" s="4"/>
      <c r="S179" s="5"/>
      <c r="T179" s="4"/>
      <c r="U179" s="5"/>
      <c r="V179" s="4"/>
      <c r="W179" s="4"/>
      <c r="X179" s="4"/>
      <c r="Y179" s="6"/>
      <c r="Z179" s="6"/>
      <c r="AA179" s="7"/>
      <c r="AB179" s="8"/>
      <c r="AC179" s="8"/>
      <c r="AD179" s="8"/>
      <c r="AE179" s="8"/>
      <c r="AF179" s="7"/>
      <c r="AG179" s="7"/>
      <c r="AH179" s="7"/>
      <c r="AI179" s="7"/>
      <c r="AJ179" s="7"/>
      <c r="AK179" s="7"/>
      <c r="AL179" s="7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</row>
    <row r="180" ht="15.75" customHeight="1">
      <c r="A180" s="16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4"/>
      <c r="O180" s="4"/>
      <c r="P180" s="4"/>
      <c r="Q180" s="4"/>
      <c r="R180" s="4"/>
      <c r="S180" s="5"/>
      <c r="T180" s="4"/>
      <c r="U180" s="5"/>
      <c r="V180" s="4"/>
      <c r="W180" s="4"/>
      <c r="X180" s="4"/>
      <c r="Y180" s="6"/>
      <c r="Z180" s="6"/>
      <c r="AA180" s="7"/>
      <c r="AB180" s="8"/>
      <c r="AC180" s="8"/>
      <c r="AD180" s="8"/>
      <c r="AE180" s="8"/>
      <c r="AF180" s="7"/>
      <c r="AG180" s="7"/>
      <c r="AH180" s="7"/>
      <c r="AI180" s="7"/>
      <c r="AJ180" s="7"/>
      <c r="AK180" s="7"/>
      <c r="AL180" s="7"/>
      <c r="AM180" s="8"/>
      <c r="AN180" s="8"/>
      <c r="AO180" s="8"/>
      <c r="AP180" s="85">
        <f>IF(AB181=0,$AP178,IF(AB180=0,$AP178,((K181+(((-L180)*$AQ$7)/AB181)))+M178+M176+M174+M172+M170)/6)</f>
        <v>3004.379929</v>
      </c>
      <c r="AQ180" s="8"/>
      <c r="AR180" s="8"/>
      <c r="AS180" s="8"/>
      <c r="AT180" s="8"/>
      <c r="AU180" s="8"/>
      <c r="AV180" s="8"/>
      <c r="AW180" s="8"/>
      <c r="AX180" s="8"/>
      <c r="BA180" s="88">
        <f>IF(AM180="", BA178, (AM180*0.3) + (BA178*0.7))</f>
        <v>78.72274376</v>
      </c>
      <c r="BB180" s="88">
        <f>IF(AP180="", BB178, (AP180*0.3) + (BB178*0.7))</f>
        <v>3004.379929</v>
      </c>
      <c r="BC180" s="88">
        <f>IF(BB180="","", BB180*0.8)</f>
        <v>2403.503943</v>
      </c>
    </row>
    <row r="181" ht="15.75" customHeight="1">
      <c r="A181" s="16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4"/>
      <c r="O181" s="4"/>
      <c r="P181" s="4"/>
      <c r="Q181" s="4"/>
      <c r="R181" s="4"/>
      <c r="S181" s="5"/>
      <c r="T181" s="4"/>
      <c r="U181" s="5"/>
      <c r="V181" s="4"/>
      <c r="W181" s="4"/>
      <c r="X181" s="4"/>
      <c r="Y181" s="6"/>
      <c r="Z181" s="6"/>
      <c r="AA181" s="7"/>
      <c r="AB181" s="8"/>
      <c r="AC181" s="8"/>
      <c r="AD181" s="8"/>
      <c r="AE181" s="8"/>
      <c r="AF181" s="7"/>
      <c r="AG181" s="7"/>
      <c r="AH181" s="7"/>
      <c r="AI181" s="7"/>
      <c r="AJ181" s="7"/>
      <c r="AK181" s="7"/>
      <c r="AL181" s="7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</row>
    <row r="182" ht="15.75" customHeight="1">
      <c r="A182" s="16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4"/>
      <c r="O182" s="4"/>
      <c r="P182" s="4"/>
      <c r="Q182" s="4"/>
      <c r="R182" s="4"/>
      <c r="S182" s="5"/>
      <c r="T182" s="4"/>
      <c r="U182" s="5"/>
      <c r="V182" s="4"/>
      <c r="W182" s="4"/>
      <c r="X182" s="4"/>
      <c r="Y182" s="6"/>
      <c r="Z182" s="6"/>
      <c r="AA182" s="7"/>
      <c r="AB182" s="8"/>
      <c r="AC182" s="8"/>
      <c r="AD182" s="8"/>
      <c r="AE182" s="8"/>
      <c r="AF182" s="7"/>
      <c r="AG182" s="7"/>
      <c r="AH182" s="7"/>
      <c r="AI182" s="7"/>
      <c r="AJ182" s="7"/>
      <c r="AK182" s="7"/>
      <c r="AL182" s="7"/>
      <c r="AM182" s="8"/>
      <c r="AN182" s="8"/>
      <c r="AO182" s="8"/>
      <c r="AP182" s="85">
        <f>IF(AB183=0,$AP180,IF(AB182=0,$AP180,((K183+(((-L182)*$AQ$7)/AB183)))+M180+M178+M176+M174+M172)/6)</f>
        <v>3004.379929</v>
      </c>
      <c r="AQ182" s="8"/>
      <c r="AR182" s="8"/>
      <c r="AS182" s="8"/>
      <c r="AT182" s="8"/>
      <c r="AU182" s="8"/>
      <c r="AV182" s="8"/>
      <c r="AW182" s="8"/>
      <c r="AX182" s="8"/>
      <c r="BA182" s="88">
        <f>IF(AM182="", BA180, (AM182*0.3) + (BA180*0.7))</f>
        <v>78.72274376</v>
      </c>
      <c r="BB182" s="88">
        <f>IF(AP182="", BB180, (AP182*0.3) + (BB180*0.7))</f>
        <v>3004.379929</v>
      </c>
      <c r="BC182" s="88">
        <f>IF(BB182="","", BB182*0.8)</f>
        <v>2403.503943</v>
      </c>
    </row>
    <row r="183" ht="15.75" customHeight="1">
      <c r="A183" s="16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4"/>
      <c r="O183" s="4"/>
      <c r="P183" s="4"/>
      <c r="Q183" s="4"/>
      <c r="R183" s="4"/>
      <c r="S183" s="5"/>
      <c r="T183" s="4"/>
      <c r="U183" s="5"/>
      <c r="V183" s="4"/>
      <c r="W183" s="4"/>
      <c r="X183" s="4"/>
      <c r="Y183" s="6"/>
      <c r="Z183" s="6"/>
      <c r="AA183" s="7"/>
      <c r="AB183" s="8"/>
      <c r="AC183" s="8"/>
      <c r="AD183" s="8"/>
      <c r="AE183" s="8"/>
      <c r="AF183" s="7"/>
      <c r="AG183" s="7"/>
      <c r="AH183" s="7"/>
      <c r="AI183" s="7"/>
      <c r="AJ183" s="7"/>
      <c r="AK183" s="7"/>
      <c r="AL183" s="7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</row>
    <row r="184" ht="15.75" customHeight="1">
      <c r="A184" s="16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4"/>
      <c r="O184" s="4"/>
      <c r="P184" s="4"/>
      <c r="Q184" s="4"/>
      <c r="R184" s="4"/>
      <c r="S184" s="5"/>
      <c r="T184" s="4"/>
      <c r="U184" s="5"/>
      <c r="V184" s="4"/>
      <c r="W184" s="4"/>
      <c r="X184" s="4"/>
      <c r="Y184" s="6"/>
      <c r="Z184" s="6"/>
      <c r="AA184" s="7"/>
      <c r="AB184" s="8"/>
      <c r="AC184" s="8"/>
      <c r="AD184" s="8"/>
      <c r="AE184" s="8"/>
      <c r="AF184" s="7"/>
      <c r="AG184" s="7"/>
      <c r="AH184" s="7"/>
      <c r="AI184" s="7"/>
      <c r="AJ184" s="7"/>
      <c r="AK184" s="7"/>
      <c r="AL184" s="7"/>
      <c r="AM184" s="8"/>
      <c r="AN184" s="8"/>
      <c r="AO184" s="8"/>
      <c r="AP184" s="85">
        <f>IF(AB185=0,$AP182,IF(AB184=0,$AP182,((K185+(((-L184)*$AQ$7)/AB185)))+M182+M180+M178+M176+M174)/6)</f>
        <v>3004.379929</v>
      </c>
      <c r="AQ184" s="8"/>
      <c r="AR184" s="8"/>
      <c r="AS184" s="8"/>
      <c r="AT184" s="8"/>
      <c r="AU184" s="8"/>
      <c r="AV184" s="8"/>
      <c r="AW184" s="8"/>
      <c r="AX184" s="8"/>
      <c r="BA184" s="88">
        <f>IF(AM184="", BA182, (AM184*0.3) + (BA182*0.7))</f>
        <v>78.72274376</v>
      </c>
      <c r="BB184" s="88">
        <f>IF(AP184="", BB182, (AP184*0.3) + (BB182*0.7))</f>
        <v>3004.379929</v>
      </c>
      <c r="BC184" s="88">
        <f>IF(BB184="","", BB184*0.8)</f>
        <v>2403.503943</v>
      </c>
    </row>
    <row r="185" ht="15.75" customHeight="1">
      <c r="A185" s="16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4"/>
      <c r="O185" s="4"/>
      <c r="P185" s="4"/>
      <c r="Q185" s="4"/>
      <c r="R185" s="4"/>
      <c r="S185" s="5"/>
      <c r="T185" s="4"/>
      <c r="U185" s="5"/>
      <c r="V185" s="4"/>
      <c r="W185" s="4"/>
      <c r="X185" s="4"/>
      <c r="Y185" s="6"/>
      <c r="Z185" s="6"/>
      <c r="AA185" s="7"/>
      <c r="AB185" s="8"/>
      <c r="AC185" s="8"/>
      <c r="AD185" s="8"/>
      <c r="AE185" s="8"/>
      <c r="AF185" s="7"/>
      <c r="AG185" s="7"/>
      <c r="AH185" s="7"/>
      <c r="AI185" s="7"/>
      <c r="AJ185" s="7"/>
      <c r="AK185" s="7"/>
      <c r="AL185" s="7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</row>
    <row r="186" ht="15.75" customHeight="1">
      <c r="A186" s="16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4"/>
      <c r="O186" s="4"/>
      <c r="P186" s="4"/>
      <c r="Q186" s="4"/>
      <c r="R186" s="4"/>
      <c r="S186" s="5"/>
      <c r="T186" s="4"/>
      <c r="U186" s="5"/>
      <c r="V186" s="4"/>
      <c r="W186" s="4"/>
      <c r="X186" s="4"/>
      <c r="Y186" s="6"/>
      <c r="Z186" s="6"/>
      <c r="AA186" s="7"/>
      <c r="AB186" s="8"/>
      <c r="AC186" s="8"/>
      <c r="AD186" s="8"/>
      <c r="AE186" s="8"/>
      <c r="AF186" s="7"/>
      <c r="AG186" s="7"/>
      <c r="AH186" s="7"/>
      <c r="AI186" s="7"/>
      <c r="AJ186" s="7"/>
      <c r="AK186" s="7"/>
      <c r="AL186" s="7"/>
      <c r="AM186" s="8"/>
      <c r="AN186" s="8"/>
      <c r="AO186" s="8"/>
      <c r="AP186" s="85">
        <f>IF(AB187=0,$AP184,IF(AB186=0,$AP184,((K187+(((-L186)*$AQ$7)/AB187)))+M184+M182+M180+M178+M176)/6)</f>
        <v>3004.379929</v>
      </c>
      <c r="AQ186" s="8"/>
      <c r="AR186" s="8"/>
      <c r="AS186" s="8"/>
      <c r="AT186" s="8"/>
      <c r="AU186" s="8"/>
      <c r="AV186" s="8"/>
      <c r="AW186" s="8"/>
      <c r="AX186" s="8"/>
      <c r="BA186" s="88">
        <f>IF(AM186="", BA184, (AM186*0.3) + (BA184*0.7))</f>
        <v>78.72274376</v>
      </c>
      <c r="BB186" s="88">
        <f>IF(AP186="", BB184, (AP186*0.3) + (BB184*0.7))</f>
        <v>3004.379929</v>
      </c>
      <c r="BC186" s="88">
        <f>IF(BB186="","", BB186*0.8)</f>
        <v>2403.503943</v>
      </c>
    </row>
    <row r="187" ht="15.75" customHeight="1">
      <c r="A187" s="16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4"/>
      <c r="O187" s="4"/>
      <c r="P187" s="4"/>
      <c r="Q187" s="4"/>
      <c r="R187" s="4"/>
      <c r="S187" s="5"/>
      <c r="T187" s="4"/>
      <c r="U187" s="5"/>
      <c r="V187" s="4"/>
      <c r="W187" s="4"/>
      <c r="X187" s="4"/>
      <c r="Y187" s="6"/>
      <c r="Z187" s="6"/>
      <c r="AA187" s="7"/>
      <c r="AB187" s="8"/>
      <c r="AC187" s="8"/>
      <c r="AD187" s="8"/>
      <c r="AE187" s="8"/>
      <c r="AF187" s="7"/>
      <c r="AG187" s="7"/>
      <c r="AH187" s="7"/>
      <c r="AI187" s="7"/>
      <c r="AJ187" s="7"/>
      <c r="AK187" s="7"/>
      <c r="AL187" s="7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</row>
    <row r="188" ht="15.75" customHeight="1">
      <c r="A188" s="16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4"/>
      <c r="O188" s="4"/>
      <c r="P188" s="4"/>
      <c r="Q188" s="4"/>
      <c r="R188" s="4"/>
      <c r="S188" s="5"/>
      <c r="T188" s="4"/>
      <c r="U188" s="5"/>
      <c r="V188" s="4"/>
      <c r="W188" s="4"/>
      <c r="X188" s="4"/>
      <c r="Y188" s="6"/>
      <c r="Z188" s="6"/>
      <c r="AA188" s="7"/>
      <c r="AB188" s="8"/>
      <c r="AC188" s="8"/>
      <c r="AD188" s="8"/>
      <c r="AE188" s="8"/>
      <c r="AF188" s="7"/>
      <c r="AG188" s="7"/>
      <c r="AH188" s="7"/>
      <c r="AI188" s="7"/>
      <c r="AJ188" s="7"/>
      <c r="AK188" s="7"/>
      <c r="AL188" s="7"/>
      <c r="AM188" s="8"/>
      <c r="AN188" s="8"/>
      <c r="AO188" s="8"/>
      <c r="AP188" s="85">
        <f>IF(AB189=0,$AP186,IF(AB188=0,$AP186,((K189+(((-L188)*$AQ$7)/AB189)))+M186+M184+M182+M180+M178)/6)</f>
        <v>3004.379929</v>
      </c>
      <c r="AQ188" s="8"/>
      <c r="AR188" s="8"/>
      <c r="AS188" s="8"/>
      <c r="AT188" s="8"/>
      <c r="AU188" s="8"/>
      <c r="AV188" s="8"/>
      <c r="AW188" s="8"/>
      <c r="AX188" s="8"/>
      <c r="BA188" s="88">
        <f>IF(AM188="", BA186, (AM188*0.3) + (BA186*0.7))</f>
        <v>78.72274376</v>
      </c>
      <c r="BB188" s="88">
        <f>IF(AP188="", BB186, (AP188*0.3) + (BB186*0.7))</f>
        <v>3004.379929</v>
      </c>
      <c r="BC188" s="88">
        <f>IF(BB188="","", BB188*0.8)</f>
        <v>2403.503943</v>
      </c>
    </row>
    <row r="189" ht="15.75" customHeight="1">
      <c r="A189" s="16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4"/>
      <c r="O189" s="4"/>
      <c r="P189" s="4"/>
      <c r="Q189" s="4"/>
      <c r="R189" s="4"/>
      <c r="S189" s="5"/>
      <c r="T189" s="4"/>
      <c r="U189" s="5"/>
      <c r="V189" s="4"/>
      <c r="W189" s="4"/>
      <c r="X189" s="4"/>
      <c r="Y189" s="6"/>
      <c r="Z189" s="6"/>
      <c r="AA189" s="7"/>
      <c r="AB189" s="8"/>
      <c r="AC189" s="8"/>
      <c r="AD189" s="8"/>
      <c r="AE189" s="8"/>
      <c r="AF189" s="7"/>
      <c r="AG189" s="7"/>
      <c r="AH189" s="7"/>
      <c r="AI189" s="7"/>
      <c r="AJ189" s="7"/>
      <c r="AK189" s="7"/>
      <c r="AL189" s="7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</row>
    <row r="190" ht="15.75" customHeight="1">
      <c r="A190" s="16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4"/>
      <c r="O190" s="4"/>
      <c r="P190" s="4"/>
      <c r="Q190" s="4"/>
      <c r="R190" s="4"/>
      <c r="S190" s="5"/>
      <c r="T190" s="4"/>
      <c r="U190" s="5"/>
      <c r="V190" s="4"/>
      <c r="W190" s="4"/>
      <c r="X190" s="4"/>
      <c r="Y190" s="6"/>
      <c r="Z190" s="6"/>
      <c r="AA190" s="7"/>
      <c r="AB190" s="8"/>
      <c r="AC190" s="8"/>
      <c r="AD190" s="8"/>
      <c r="AE190" s="8"/>
      <c r="AF190" s="7"/>
      <c r="AG190" s="7"/>
      <c r="AH190" s="7"/>
      <c r="AI190" s="7"/>
      <c r="AJ190" s="7"/>
      <c r="AK190" s="7"/>
      <c r="AL190" s="7"/>
      <c r="AM190" s="8"/>
      <c r="AN190" s="8"/>
      <c r="AO190" s="8"/>
      <c r="AP190" s="85">
        <f>IF(AB191=0,$AP188,IF(AB190=0,$AP188,((K191+(((-L190)*$AQ$7)/AB191)))+M188+M186+M184+M182+M180)/6)</f>
        <v>3004.379929</v>
      </c>
      <c r="AQ190" s="8"/>
      <c r="AR190" s="8"/>
      <c r="AS190" s="8"/>
      <c r="AT190" s="8"/>
      <c r="AU190" s="8"/>
      <c r="AV190" s="8"/>
      <c r="AW190" s="8"/>
      <c r="AX190" s="8"/>
      <c r="BA190" s="88">
        <f>IF(AM190="", BA188, (AM190*0.3) + (BA188*0.7))</f>
        <v>78.72274376</v>
      </c>
      <c r="BB190" s="88">
        <f>IF(AP190="", BB188, (AP190*0.3) + (BB188*0.7))</f>
        <v>3004.379929</v>
      </c>
      <c r="BC190" s="88">
        <f>IF(BB190="","", BB190*0.8)</f>
        <v>2403.503943</v>
      </c>
    </row>
    <row r="191" ht="15.75" customHeight="1">
      <c r="A191" s="16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4"/>
      <c r="O191" s="4"/>
      <c r="P191" s="4"/>
      <c r="Q191" s="4"/>
      <c r="R191" s="4"/>
      <c r="S191" s="5"/>
      <c r="T191" s="4"/>
      <c r="U191" s="5"/>
      <c r="V191" s="4"/>
      <c r="W191" s="4"/>
      <c r="X191" s="4"/>
      <c r="Y191" s="6"/>
      <c r="Z191" s="6"/>
      <c r="AA191" s="7"/>
      <c r="AB191" s="8"/>
      <c r="AC191" s="8"/>
      <c r="AD191" s="8"/>
      <c r="AE191" s="8"/>
      <c r="AF191" s="7"/>
      <c r="AG191" s="7"/>
      <c r="AH191" s="7"/>
      <c r="AI191" s="7"/>
      <c r="AJ191" s="7"/>
      <c r="AK191" s="7"/>
      <c r="AL191" s="7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</row>
    <row r="192" ht="15.75" customHeight="1">
      <c r="A192" s="16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4"/>
      <c r="O192" s="4"/>
      <c r="P192" s="4"/>
      <c r="Q192" s="4"/>
      <c r="R192" s="4"/>
      <c r="S192" s="5"/>
      <c r="T192" s="4"/>
      <c r="U192" s="5"/>
      <c r="V192" s="4"/>
      <c r="W192" s="4"/>
      <c r="X192" s="4"/>
      <c r="Y192" s="6"/>
      <c r="Z192" s="6"/>
      <c r="AA192" s="7"/>
      <c r="AB192" s="8"/>
      <c r="AC192" s="8"/>
      <c r="AD192" s="8"/>
      <c r="AE192" s="8"/>
      <c r="AF192" s="7"/>
      <c r="AG192" s="7"/>
      <c r="AH192" s="7"/>
      <c r="AI192" s="7"/>
      <c r="AJ192" s="7"/>
      <c r="AK192" s="7"/>
      <c r="AL192" s="7"/>
      <c r="AM192" s="8"/>
      <c r="AN192" s="8"/>
      <c r="AO192" s="8"/>
      <c r="AP192" s="85">
        <f>IF(AB193=0,$AP190,IF(AB192=0,$AP190,((K193+(((-L192)*$AQ$7)/AB193)))+M190+M188+M186+M184+M182)/6)</f>
        <v>3004.379929</v>
      </c>
      <c r="AQ192" s="8"/>
      <c r="AR192" s="8"/>
      <c r="AS192" s="8"/>
      <c r="AT192" s="8"/>
      <c r="AU192" s="8"/>
      <c r="AV192" s="8"/>
      <c r="AW192" s="8"/>
      <c r="AX192" s="8"/>
      <c r="BA192" s="88">
        <f>IF(AM192="", BA190, (AM192*0.3) + (BA190*0.7))</f>
        <v>78.72274376</v>
      </c>
      <c r="BB192" s="88">
        <f>IF(AP192="", BB190, (AP192*0.3) + (BB190*0.7))</f>
        <v>3004.379929</v>
      </c>
      <c r="BC192" s="88">
        <f>IF(BB192="","", BB192*0.8)</f>
        <v>2403.503943</v>
      </c>
    </row>
    <row r="193" ht="15.75" customHeight="1">
      <c r="A193" s="16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4"/>
      <c r="O193" s="4"/>
      <c r="P193" s="4"/>
      <c r="Q193" s="4"/>
      <c r="R193" s="4"/>
      <c r="S193" s="5"/>
      <c r="T193" s="4"/>
      <c r="U193" s="5"/>
      <c r="V193" s="4"/>
      <c r="W193" s="4"/>
      <c r="X193" s="4"/>
      <c r="Y193" s="6"/>
      <c r="Z193" s="6"/>
      <c r="AA193" s="7"/>
      <c r="AB193" s="8"/>
      <c r="AC193" s="8"/>
      <c r="AD193" s="8"/>
      <c r="AE193" s="8"/>
      <c r="AF193" s="7"/>
      <c r="AG193" s="7"/>
      <c r="AH193" s="7"/>
      <c r="AI193" s="7"/>
      <c r="AJ193" s="7"/>
      <c r="AK193" s="7"/>
      <c r="AL193" s="7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</row>
    <row r="194" ht="15.75" customHeight="1">
      <c r="A194" s="16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4"/>
      <c r="O194" s="4"/>
      <c r="P194" s="4"/>
      <c r="Q194" s="4"/>
      <c r="R194" s="4"/>
      <c r="S194" s="5"/>
      <c r="T194" s="4"/>
      <c r="U194" s="5"/>
      <c r="V194" s="4"/>
      <c r="W194" s="4"/>
      <c r="X194" s="4"/>
      <c r="Y194" s="6"/>
      <c r="Z194" s="6"/>
      <c r="AA194" s="7"/>
      <c r="AB194" s="8"/>
      <c r="AC194" s="8"/>
      <c r="AD194" s="8"/>
      <c r="AE194" s="8"/>
      <c r="AF194" s="7"/>
      <c r="AG194" s="7"/>
      <c r="AH194" s="7"/>
      <c r="AI194" s="7"/>
      <c r="AJ194" s="7"/>
      <c r="AK194" s="7"/>
      <c r="AL194" s="7"/>
      <c r="AM194" s="8"/>
      <c r="AN194" s="8"/>
      <c r="AO194" s="8"/>
      <c r="AP194" s="85">
        <f>IF(AB195=0,$AP192,IF(AB194=0,$AP192,((K195+(((-L194)*$AQ$7)/AB195)))+M192+M190+M188+M186+M184)/6)</f>
        <v>3004.379929</v>
      </c>
      <c r="AQ194" s="8"/>
      <c r="AR194" s="8"/>
      <c r="AS194" s="8"/>
      <c r="AT194" s="8"/>
      <c r="AU194" s="8"/>
      <c r="AV194" s="8"/>
      <c r="AW194" s="8"/>
      <c r="AX194" s="8"/>
      <c r="BA194" s="88">
        <f>IF(AM194="", BA192, (AM194*0.3) + (BA192*0.7))</f>
        <v>78.72274376</v>
      </c>
      <c r="BB194" s="88">
        <f>IF(AP194="", BB192, (AP194*0.3) + (BB192*0.7))</f>
        <v>3004.379929</v>
      </c>
      <c r="BC194" s="88">
        <f>IF(BB194="","", BB194*0.8)</f>
        <v>2403.503943</v>
      </c>
    </row>
    <row r="195" ht="15.75" customHeight="1">
      <c r="A195" s="16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4"/>
      <c r="O195" s="4"/>
      <c r="P195" s="4"/>
      <c r="Q195" s="4"/>
      <c r="R195" s="4"/>
      <c r="S195" s="5"/>
      <c r="T195" s="4"/>
      <c r="U195" s="5"/>
      <c r="V195" s="4"/>
      <c r="W195" s="4"/>
      <c r="X195" s="4"/>
      <c r="Y195" s="6"/>
      <c r="Z195" s="6"/>
      <c r="AA195" s="7"/>
      <c r="AB195" s="8"/>
      <c r="AC195" s="8"/>
      <c r="AD195" s="8"/>
      <c r="AE195" s="8"/>
      <c r="AF195" s="7"/>
      <c r="AG195" s="7"/>
      <c r="AH195" s="7"/>
      <c r="AI195" s="7"/>
      <c r="AJ195" s="7"/>
      <c r="AK195" s="7"/>
      <c r="AL195" s="7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</row>
    <row r="196" ht="15.75" customHeight="1">
      <c r="A196" s="16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4"/>
      <c r="O196" s="4"/>
      <c r="P196" s="4"/>
      <c r="Q196" s="4"/>
      <c r="R196" s="4"/>
      <c r="S196" s="5"/>
      <c r="T196" s="4"/>
      <c r="U196" s="5"/>
      <c r="V196" s="4"/>
      <c r="W196" s="4"/>
      <c r="X196" s="4"/>
      <c r="Y196" s="6"/>
      <c r="Z196" s="6"/>
      <c r="AA196" s="7"/>
      <c r="AB196" s="8"/>
      <c r="AC196" s="8"/>
      <c r="AD196" s="8"/>
      <c r="AE196" s="8"/>
      <c r="AF196" s="7"/>
      <c r="AG196" s="7"/>
      <c r="AH196" s="7"/>
      <c r="AI196" s="7"/>
      <c r="AJ196" s="7"/>
      <c r="AK196" s="7"/>
      <c r="AL196" s="7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BA196" s="88">
        <f>IF(AM196="", BA194, (AM196*0.3) + (BA194*0.7))</f>
        <v>78.72274376</v>
      </c>
      <c r="BB196" s="88">
        <f>IF(AP196="", BB194, (AP196*0.3) + (BB194*0.7))</f>
        <v>3004.379929</v>
      </c>
      <c r="BC196" s="88">
        <f>IF(BB196="","", BB196*0.8)</f>
        <v>2403.503943</v>
      </c>
    </row>
    <row r="197" ht="15.75" customHeight="1">
      <c r="A197" s="16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4"/>
      <c r="O197" s="4"/>
      <c r="P197" s="4"/>
      <c r="Q197" s="4"/>
      <c r="R197" s="4"/>
      <c r="S197" s="5"/>
      <c r="T197" s="4"/>
      <c r="U197" s="5"/>
      <c r="V197" s="4"/>
      <c r="W197" s="4"/>
      <c r="X197" s="4"/>
      <c r="Y197" s="6"/>
      <c r="Z197" s="6"/>
      <c r="AA197" s="7"/>
      <c r="AB197" s="8"/>
      <c r="AC197" s="8"/>
      <c r="AD197" s="8"/>
      <c r="AE197" s="8"/>
      <c r="AF197" s="7"/>
      <c r="AG197" s="7"/>
      <c r="AH197" s="7"/>
      <c r="AI197" s="7"/>
      <c r="AJ197" s="7"/>
      <c r="AK197" s="7"/>
      <c r="AL197" s="7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</row>
    <row r="198" ht="15.75" customHeight="1">
      <c r="A198" s="16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4"/>
      <c r="O198" s="4"/>
      <c r="P198" s="4"/>
      <c r="Q198" s="4"/>
      <c r="R198" s="4"/>
      <c r="S198" s="5"/>
      <c r="T198" s="4"/>
      <c r="U198" s="5"/>
      <c r="V198" s="4"/>
      <c r="W198" s="4"/>
      <c r="X198" s="4"/>
      <c r="Y198" s="6"/>
      <c r="Z198" s="6"/>
      <c r="AA198" s="7"/>
      <c r="AB198" s="8"/>
      <c r="AC198" s="8"/>
      <c r="AD198" s="8"/>
      <c r="AE198" s="8"/>
      <c r="AF198" s="7"/>
      <c r="AG198" s="7"/>
      <c r="AH198" s="7"/>
      <c r="AI198" s="7"/>
      <c r="AJ198" s="7"/>
      <c r="AK198" s="7"/>
      <c r="AL198" s="7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BA198" s="88">
        <f>IF(AM198="", BA196, (AM198*0.3) + (BA196*0.7))</f>
        <v>78.72274376</v>
      </c>
      <c r="BB198" s="88">
        <f>IF(AP198="", BB196, (AP198*0.3) + (BB196*0.7))</f>
        <v>3004.379929</v>
      </c>
      <c r="BC198" s="88">
        <f>IF(BB198="","", BB198*0.8)</f>
        <v>2403.503943</v>
      </c>
    </row>
    <row r="199" ht="15.75" customHeight="1">
      <c r="A199" s="16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4"/>
      <c r="O199" s="4"/>
      <c r="P199" s="4"/>
      <c r="Q199" s="4"/>
      <c r="R199" s="4"/>
      <c r="S199" s="5"/>
      <c r="T199" s="4"/>
      <c r="U199" s="5"/>
      <c r="V199" s="4"/>
      <c r="W199" s="4"/>
      <c r="X199" s="4"/>
      <c r="Y199" s="6"/>
      <c r="Z199" s="6"/>
      <c r="AA199" s="7"/>
      <c r="AB199" s="8"/>
      <c r="AC199" s="8"/>
      <c r="AD199" s="8"/>
      <c r="AE199" s="8"/>
      <c r="AF199" s="7"/>
      <c r="AG199" s="7"/>
      <c r="AH199" s="7"/>
      <c r="AI199" s="7"/>
      <c r="AJ199" s="7"/>
      <c r="AK199" s="7"/>
      <c r="AL199" s="7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</row>
    <row r="200" ht="15.75" customHeight="1">
      <c r="A200" s="16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4"/>
      <c r="O200" s="4"/>
      <c r="P200" s="4"/>
      <c r="Q200" s="4"/>
      <c r="R200" s="4"/>
      <c r="S200" s="5"/>
      <c r="T200" s="4"/>
      <c r="U200" s="5"/>
      <c r="V200" s="4"/>
      <c r="W200" s="4"/>
      <c r="X200" s="4"/>
      <c r="Y200" s="6"/>
      <c r="Z200" s="6"/>
      <c r="AA200" s="7"/>
      <c r="AB200" s="8"/>
      <c r="AC200" s="8"/>
      <c r="AD200" s="8"/>
      <c r="AE200" s="8"/>
      <c r="AF200" s="7"/>
      <c r="AG200" s="7"/>
      <c r="AH200" s="7"/>
      <c r="AI200" s="7"/>
      <c r="AJ200" s="7"/>
      <c r="AK200" s="7"/>
      <c r="AL200" s="7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BA200" s="88">
        <f>IF(AM200="", BA198, (AM200*0.3) + (BA198*0.7))</f>
        <v>78.72274376</v>
      </c>
      <c r="BB200" s="88">
        <f>IF(AP200="", BB198, (AP200*0.3) + (BB198*0.7))</f>
        <v>3004.379929</v>
      </c>
      <c r="BC200" s="88">
        <f>IF(BB200="","", BB200*0.8)</f>
        <v>2403.503943</v>
      </c>
    </row>
    <row r="201" ht="15.75" customHeight="1">
      <c r="A201" s="16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4"/>
      <c r="O201" s="4"/>
      <c r="P201" s="4"/>
      <c r="Q201" s="4"/>
      <c r="R201" s="4"/>
      <c r="S201" s="5"/>
      <c r="T201" s="4"/>
      <c r="U201" s="5"/>
      <c r="V201" s="4"/>
      <c r="W201" s="4"/>
      <c r="X201" s="4"/>
      <c r="Y201" s="6"/>
      <c r="Z201" s="6"/>
      <c r="AA201" s="7"/>
      <c r="AB201" s="8"/>
      <c r="AC201" s="8"/>
      <c r="AD201" s="8"/>
      <c r="AE201" s="8"/>
      <c r="AF201" s="7"/>
      <c r="AG201" s="7"/>
      <c r="AH201" s="7"/>
      <c r="AI201" s="7"/>
      <c r="AJ201" s="7"/>
      <c r="AK201" s="7"/>
      <c r="AL201" s="7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</row>
    <row r="202" ht="15.75" customHeight="1">
      <c r="A202" s="16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4"/>
      <c r="O202" s="4"/>
      <c r="P202" s="4"/>
      <c r="Q202" s="4"/>
      <c r="R202" s="4"/>
      <c r="S202" s="5"/>
      <c r="T202" s="4"/>
      <c r="U202" s="5"/>
      <c r="V202" s="4"/>
      <c r="W202" s="4"/>
      <c r="X202" s="4"/>
      <c r="Y202" s="6"/>
      <c r="Z202" s="6"/>
      <c r="AA202" s="7"/>
      <c r="AB202" s="8"/>
      <c r="AC202" s="8"/>
      <c r="AD202" s="8"/>
      <c r="AE202" s="8"/>
      <c r="AF202" s="7"/>
      <c r="AG202" s="7"/>
      <c r="AH202" s="7"/>
      <c r="AI202" s="7"/>
      <c r="AJ202" s="7"/>
      <c r="AK202" s="7"/>
      <c r="AL202" s="7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BA202" s="88">
        <f>IF(AM202="", BA200, (AM202*0.3) + (BA200*0.7))</f>
        <v>78.72274376</v>
      </c>
      <c r="BB202" s="88">
        <f>IF(AP202="", BB200, (AP202*0.3) + (BB200*0.7))</f>
        <v>3004.379929</v>
      </c>
      <c r="BC202" s="88">
        <f>IF(BB202="","", BB202*0.8)</f>
        <v>2403.503943</v>
      </c>
    </row>
    <row r="203" ht="15.75" customHeight="1">
      <c r="A203" s="16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4"/>
      <c r="O203" s="4"/>
      <c r="P203" s="4"/>
      <c r="Q203" s="4"/>
      <c r="R203" s="4"/>
      <c r="S203" s="5"/>
      <c r="T203" s="4"/>
      <c r="U203" s="5"/>
      <c r="V203" s="4"/>
      <c r="W203" s="4"/>
      <c r="X203" s="4"/>
      <c r="Y203" s="6"/>
      <c r="Z203" s="6"/>
      <c r="AA203" s="7"/>
      <c r="AB203" s="8"/>
      <c r="AC203" s="8"/>
      <c r="AD203" s="8"/>
      <c r="AE203" s="8"/>
      <c r="AF203" s="7"/>
      <c r="AG203" s="7"/>
      <c r="AH203" s="7"/>
      <c r="AI203" s="7"/>
      <c r="AJ203" s="7"/>
      <c r="AK203" s="7"/>
      <c r="AL203" s="7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</row>
    <row r="204" ht="15.75" customHeight="1">
      <c r="A204" s="16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4"/>
      <c r="O204" s="4"/>
      <c r="P204" s="4"/>
      <c r="Q204" s="4"/>
      <c r="R204" s="4"/>
      <c r="S204" s="5"/>
      <c r="T204" s="4"/>
      <c r="U204" s="5"/>
      <c r="V204" s="4"/>
      <c r="W204" s="4"/>
      <c r="X204" s="4"/>
      <c r="Y204" s="6"/>
      <c r="Z204" s="6"/>
      <c r="AA204" s="7"/>
      <c r="AB204" s="8"/>
      <c r="AC204" s="8"/>
      <c r="AD204" s="8"/>
      <c r="AE204" s="8"/>
      <c r="AF204" s="7"/>
      <c r="AG204" s="7"/>
      <c r="AH204" s="7"/>
      <c r="AI204" s="7"/>
      <c r="AJ204" s="7"/>
      <c r="AK204" s="7"/>
      <c r="AL204" s="7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BA204" s="88">
        <f>IF(AM204="", BA202, (AM204*0.3) + (BA202*0.7))</f>
        <v>78.72274376</v>
      </c>
      <c r="BB204" s="88">
        <f>IF(AP204="", BB202, (AP204*0.3) + (BB202*0.7))</f>
        <v>3004.379929</v>
      </c>
      <c r="BC204" s="88">
        <f>IF(BB204="","", BB204*0.8)</f>
        <v>2403.503943</v>
      </c>
    </row>
    <row r="205" ht="15.75" customHeight="1">
      <c r="A205" s="16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4"/>
      <c r="O205" s="4"/>
      <c r="P205" s="4"/>
      <c r="Q205" s="4"/>
      <c r="R205" s="4"/>
      <c r="S205" s="5"/>
      <c r="T205" s="4"/>
      <c r="U205" s="5"/>
      <c r="V205" s="4"/>
      <c r="W205" s="4"/>
      <c r="X205" s="4"/>
      <c r="Y205" s="6"/>
      <c r="Z205" s="6"/>
      <c r="AA205" s="7"/>
      <c r="AB205" s="8"/>
      <c r="AC205" s="8"/>
      <c r="AD205" s="8"/>
      <c r="AE205" s="8"/>
      <c r="AF205" s="7"/>
      <c r="AG205" s="7"/>
      <c r="AH205" s="7"/>
      <c r="AI205" s="7"/>
      <c r="AJ205" s="7"/>
      <c r="AK205" s="7"/>
      <c r="AL205" s="7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</row>
    <row r="206" ht="15.75" customHeight="1">
      <c r="A206" s="16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4"/>
      <c r="O206" s="4"/>
      <c r="P206" s="4"/>
      <c r="Q206" s="4"/>
      <c r="R206" s="4"/>
      <c r="S206" s="5"/>
      <c r="T206" s="4"/>
      <c r="U206" s="5"/>
      <c r="V206" s="4"/>
      <c r="W206" s="4"/>
      <c r="X206" s="4"/>
      <c r="Y206" s="6"/>
      <c r="Z206" s="6"/>
      <c r="AA206" s="7"/>
      <c r="AB206" s="8"/>
      <c r="AC206" s="8"/>
      <c r="AD206" s="8"/>
      <c r="AE206" s="8"/>
      <c r="AF206" s="7"/>
      <c r="AG206" s="7"/>
      <c r="AH206" s="7"/>
      <c r="AI206" s="7"/>
      <c r="AJ206" s="7"/>
      <c r="AK206" s="7"/>
      <c r="AL206" s="7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BA206" s="88">
        <f>IF(AM206="", BA204, (AM206*0.3) + (BA204*0.7))</f>
        <v>78.72274376</v>
      </c>
      <c r="BB206" s="88">
        <f>IF(AP206="", BB204, (AP206*0.3) + (BB204*0.7))</f>
        <v>3004.379929</v>
      </c>
      <c r="BC206" s="88">
        <f>IF(BB206="","", BB206*0.8)</f>
        <v>2403.503943</v>
      </c>
    </row>
    <row r="207" ht="15.75" customHeight="1">
      <c r="A207" s="16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4"/>
      <c r="O207" s="4"/>
      <c r="P207" s="4"/>
      <c r="Q207" s="4"/>
      <c r="R207" s="4"/>
      <c r="S207" s="5"/>
      <c r="T207" s="4"/>
      <c r="U207" s="5"/>
      <c r="V207" s="4"/>
      <c r="W207" s="4"/>
      <c r="X207" s="4"/>
      <c r="Y207" s="6"/>
      <c r="Z207" s="6"/>
      <c r="AA207" s="7"/>
      <c r="AB207" s="8"/>
      <c r="AC207" s="8"/>
      <c r="AD207" s="8"/>
      <c r="AE207" s="8"/>
      <c r="AF207" s="7"/>
      <c r="AG207" s="7"/>
      <c r="AH207" s="7"/>
      <c r="AI207" s="7"/>
      <c r="AJ207" s="7"/>
      <c r="AK207" s="7"/>
      <c r="AL207" s="7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</row>
    <row r="208" ht="15.75" customHeight="1">
      <c r="A208" s="16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4"/>
      <c r="O208" s="4"/>
      <c r="P208" s="4"/>
      <c r="Q208" s="4"/>
      <c r="R208" s="4"/>
      <c r="S208" s="5"/>
      <c r="T208" s="4"/>
      <c r="U208" s="5"/>
      <c r="V208" s="4"/>
      <c r="W208" s="4"/>
      <c r="X208" s="4"/>
      <c r="Y208" s="6"/>
      <c r="Z208" s="6"/>
      <c r="AA208" s="7"/>
      <c r="AB208" s="8"/>
      <c r="AC208" s="8"/>
      <c r="AD208" s="8"/>
      <c r="AE208" s="8"/>
      <c r="AF208" s="7"/>
      <c r="AG208" s="7"/>
      <c r="AH208" s="7"/>
      <c r="AI208" s="7"/>
      <c r="AJ208" s="7"/>
      <c r="AK208" s="7"/>
      <c r="AL208" s="7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BA208" s="88">
        <f>IF(AM208="", BA206, (AM208*0.3) + (BA206*0.7))</f>
        <v>78.72274376</v>
      </c>
      <c r="BB208" s="88">
        <f>IF(AP208="", BB206, (AP208*0.3) + (BB206*0.7))</f>
        <v>3004.379929</v>
      </c>
      <c r="BC208" s="88">
        <f>IF(BB208="","", BB208*0.8)</f>
        <v>2403.503943</v>
      </c>
    </row>
    <row r="209" ht="15.75" customHeight="1">
      <c r="A209" s="16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4"/>
      <c r="O209" s="4"/>
      <c r="P209" s="4"/>
      <c r="Q209" s="4"/>
      <c r="R209" s="4"/>
      <c r="S209" s="5"/>
      <c r="T209" s="4"/>
      <c r="U209" s="5"/>
      <c r="V209" s="4"/>
      <c r="W209" s="4"/>
      <c r="X209" s="4"/>
      <c r="Y209" s="6"/>
      <c r="Z209" s="6"/>
      <c r="AA209" s="7"/>
      <c r="AB209" s="8"/>
      <c r="AC209" s="8"/>
      <c r="AD209" s="8"/>
      <c r="AE209" s="8"/>
      <c r="AF209" s="7"/>
      <c r="AG209" s="7"/>
      <c r="AH209" s="7"/>
      <c r="AI209" s="7"/>
      <c r="AJ209" s="7"/>
      <c r="AK209" s="7"/>
      <c r="AL209" s="7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</row>
    <row r="210" ht="15.75" customHeight="1">
      <c r="A210" s="16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4"/>
      <c r="O210" s="4"/>
      <c r="P210" s="4"/>
      <c r="Q210" s="4"/>
      <c r="R210" s="4"/>
      <c r="S210" s="5"/>
      <c r="T210" s="4"/>
      <c r="U210" s="5"/>
      <c r="V210" s="4"/>
      <c r="W210" s="4"/>
      <c r="X210" s="4"/>
      <c r="Y210" s="6"/>
      <c r="Z210" s="6"/>
      <c r="AA210" s="7"/>
      <c r="AB210" s="8"/>
      <c r="AC210" s="8"/>
      <c r="AD210" s="8"/>
      <c r="AE210" s="8"/>
      <c r="AF210" s="7"/>
      <c r="AG210" s="7"/>
      <c r="AH210" s="7"/>
      <c r="AI210" s="7"/>
      <c r="AJ210" s="7"/>
      <c r="AK210" s="7"/>
      <c r="AL210" s="7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BA210" s="88">
        <f>IF(AM210="", BA208, (AM210*0.3) + (BA208*0.7))</f>
        <v>78.72274376</v>
      </c>
      <c r="BB210" s="88">
        <f>IF(AP210="", BB208, (AP210*0.3) + (BB208*0.7))</f>
        <v>3004.379929</v>
      </c>
      <c r="BC210" s="88">
        <f>IF(BB210="","", BB210*0.8)</f>
        <v>2403.503943</v>
      </c>
    </row>
    <row r="211" ht="15.75" customHeight="1">
      <c r="A211" s="16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4"/>
      <c r="O211" s="4"/>
      <c r="P211" s="4"/>
      <c r="Q211" s="4"/>
      <c r="R211" s="4"/>
      <c r="S211" s="5"/>
      <c r="T211" s="4"/>
      <c r="U211" s="5"/>
      <c r="V211" s="4"/>
      <c r="W211" s="4"/>
      <c r="X211" s="4"/>
      <c r="Y211" s="6"/>
      <c r="Z211" s="6"/>
      <c r="AA211" s="7"/>
      <c r="AB211" s="8"/>
      <c r="AC211" s="8"/>
      <c r="AD211" s="8"/>
      <c r="AE211" s="8"/>
      <c r="AF211" s="7"/>
      <c r="AG211" s="7"/>
      <c r="AH211" s="7"/>
      <c r="AI211" s="7"/>
      <c r="AJ211" s="7"/>
      <c r="AK211" s="7"/>
      <c r="AL211" s="7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</row>
    <row r="212" ht="15.75" customHeight="1">
      <c r="A212" s="16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4"/>
      <c r="O212" s="4"/>
      <c r="P212" s="4"/>
      <c r="Q212" s="4"/>
      <c r="R212" s="4"/>
      <c r="S212" s="5"/>
      <c r="T212" s="4"/>
      <c r="U212" s="5"/>
      <c r="V212" s="4"/>
      <c r="W212" s="4"/>
      <c r="X212" s="4"/>
      <c r="Y212" s="6"/>
      <c r="Z212" s="6"/>
      <c r="AA212" s="7"/>
      <c r="AB212" s="8"/>
      <c r="AC212" s="8"/>
      <c r="AD212" s="8"/>
      <c r="AE212" s="8"/>
      <c r="AF212" s="7"/>
      <c r="AG212" s="7"/>
      <c r="AH212" s="7"/>
      <c r="AI212" s="7"/>
      <c r="AJ212" s="7"/>
      <c r="AK212" s="7"/>
      <c r="AL212" s="7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BA212" s="88">
        <f>IF(AM212="", BA210, (AM212*0.3) + (BA210*0.7))</f>
        <v>78.72274376</v>
      </c>
      <c r="BB212" s="88">
        <f>IF(AP212="", BB210, (AP212*0.3) + (BB210*0.7))</f>
        <v>3004.379929</v>
      </c>
      <c r="BC212" s="88">
        <f>IF(BB212="","", BB212*0.8)</f>
        <v>2403.503943</v>
      </c>
    </row>
    <row r="213" ht="15.75" customHeight="1">
      <c r="A213" s="16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4"/>
      <c r="O213" s="4"/>
      <c r="P213" s="4"/>
      <c r="Q213" s="4"/>
      <c r="R213" s="4"/>
      <c r="S213" s="5"/>
      <c r="T213" s="4"/>
      <c r="U213" s="5"/>
      <c r="V213" s="4"/>
      <c r="W213" s="4"/>
      <c r="X213" s="4"/>
      <c r="Y213" s="6"/>
      <c r="Z213" s="6"/>
      <c r="AA213" s="7"/>
      <c r="AB213" s="8"/>
      <c r="AC213" s="8"/>
      <c r="AD213" s="8"/>
      <c r="AE213" s="8"/>
      <c r="AF213" s="7"/>
      <c r="AG213" s="7"/>
      <c r="AH213" s="7"/>
      <c r="AI213" s="7"/>
      <c r="AJ213" s="7"/>
      <c r="AK213" s="7"/>
      <c r="AL213" s="7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</row>
    <row r="214" ht="15.75" customHeight="1">
      <c r="A214" s="16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4"/>
      <c r="O214" s="4"/>
      <c r="P214" s="4"/>
      <c r="Q214" s="4"/>
      <c r="R214" s="4"/>
      <c r="S214" s="5"/>
      <c r="T214" s="4"/>
      <c r="U214" s="5"/>
      <c r="V214" s="4"/>
      <c r="W214" s="4"/>
      <c r="X214" s="4"/>
      <c r="Y214" s="6"/>
      <c r="Z214" s="6"/>
      <c r="AA214" s="7"/>
      <c r="AB214" s="8"/>
      <c r="AC214" s="8"/>
      <c r="AD214" s="8"/>
      <c r="AE214" s="8"/>
      <c r="AF214" s="7"/>
      <c r="AG214" s="7"/>
      <c r="AH214" s="7"/>
      <c r="AI214" s="7"/>
      <c r="AJ214" s="7"/>
      <c r="AK214" s="7"/>
      <c r="AL214" s="7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BA214" s="88">
        <f>IF(AM214="", BA212, (AM214*0.3) + (BA212*0.7))</f>
        <v>78.72274376</v>
      </c>
      <c r="BB214" s="88">
        <f>IF(AP214="", BB212, (AP214*0.3) + (BB212*0.7))</f>
        <v>3004.379929</v>
      </c>
      <c r="BC214" s="88">
        <f>IF(BB214="","", BB214*0.8)</f>
        <v>2403.503943</v>
      </c>
    </row>
    <row r="215" ht="15.75" customHeight="1">
      <c r="A215" s="16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4"/>
      <c r="O215" s="4"/>
      <c r="P215" s="4"/>
      <c r="Q215" s="4"/>
      <c r="R215" s="4"/>
      <c r="S215" s="5"/>
      <c r="T215" s="4"/>
      <c r="U215" s="5"/>
      <c r="V215" s="4"/>
      <c r="W215" s="4"/>
      <c r="X215" s="4"/>
      <c r="Y215" s="6"/>
      <c r="Z215" s="6"/>
      <c r="AA215" s="7"/>
      <c r="AB215" s="8"/>
      <c r="AC215" s="8"/>
      <c r="AD215" s="8"/>
      <c r="AE215" s="8"/>
      <c r="AF215" s="7"/>
      <c r="AG215" s="7"/>
      <c r="AH215" s="7"/>
      <c r="AI215" s="7"/>
      <c r="AJ215" s="7"/>
      <c r="AK215" s="7"/>
      <c r="AL215" s="7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</row>
    <row r="216" ht="15.75" customHeight="1">
      <c r="A216" s="16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4"/>
      <c r="O216" s="4"/>
      <c r="P216" s="4"/>
      <c r="Q216" s="4"/>
      <c r="R216" s="4"/>
      <c r="S216" s="5"/>
      <c r="T216" s="4"/>
      <c r="U216" s="5"/>
      <c r="V216" s="4"/>
      <c r="W216" s="4"/>
      <c r="X216" s="4"/>
      <c r="Y216" s="6"/>
      <c r="Z216" s="6"/>
      <c r="AA216" s="7"/>
      <c r="AB216" s="8"/>
      <c r="AC216" s="8"/>
      <c r="AD216" s="8"/>
      <c r="AE216" s="8"/>
      <c r="AF216" s="7"/>
      <c r="AG216" s="7"/>
      <c r="AH216" s="7"/>
      <c r="AI216" s="7"/>
      <c r="AJ216" s="7"/>
      <c r="AK216" s="7"/>
      <c r="AL216" s="7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BA216" s="88">
        <f>IF(AM216="", BA214, (AM216*0.3) + (BA214*0.7))</f>
        <v>78.72274376</v>
      </c>
      <c r="BB216" s="88">
        <f>IF(AP216="", BB214, (AP216*0.3) + (BB214*0.7))</f>
        <v>3004.379929</v>
      </c>
      <c r="BC216" s="88">
        <f>IF(BB216="","", BB216*0.8)</f>
        <v>2403.503943</v>
      </c>
    </row>
    <row r="217" ht="15.75" customHeight="1">
      <c r="A217" s="16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4"/>
      <c r="O217" s="4"/>
      <c r="P217" s="4"/>
      <c r="Q217" s="4"/>
      <c r="R217" s="4"/>
      <c r="S217" s="5"/>
      <c r="T217" s="4"/>
      <c r="U217" s="5"/>
      <c r="V217" s="4"/>
      <c r="W217" s="4"/>
      <c r="X217" s="4"/>
      <c r="Y217" s="6"/>
      <c r="Z217" s="6"/>
      <c r="AA217" s="7"/>
      <c r="AB217" s="8"/>
      <c r="AC217" s="8"/>
      <c r="AD217" s="8"/>
      <c r="AE217" s="8"/>
      <c r="AF217" s="7"/>
      <c r="AG217" s="7"/>
      <c r="AH217" s="7"/>
      <c r="AI217" s="7"/>
      <c r="AJ217" s="7"/>
      <c r="AK217" s="7"/>
      <c r="AL217" s="7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</row>
    <row r="218" ht="15.75" customHeight="1">
      <c r="A218" s="16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4"/>
      <c r="O218" s="4"/>
      <c r="P218" s="4"/>
      <c r="Q218" s="4"/>
      <c r="R218" s="4"/>
      <c r="S218" s="5"/>
      <c r="T218" s="4"/>
      <c r="U218" s="5"/>
      <c r="V218" s="4"/>
      <c r="W218" s="4"/>
      <c r="X218" s="4"/>
      <c r="Y218" s="6"/>
      <c r="Z218" s="6"/>
      <c r="AA218" s="7"/>
      <c r="AB218" s="8"/>
      <c r="AC218" s="8"/>
      <c r="AD218" s="8"/>
      <c r="AE218" s="8"/>
      <c r="AF218" s="7"/>
      <c r="AG218" s="7"/>
      <c r="AH218" s="7"/>
      <c r="AI218" s="7"/>
      <c r="AJ218" s="7"/>
      <c r="AK218" s="7"/>
      <c r="AL218" s="7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BA218" s="88">
        <f>IF(AM218="", BA216, (AM218*0.3) + (BA216*0.7))</f>
        <v>78.72274376</v>
      </c>
      <c r="BB218" s="88">
        <f>IF(AP218="", BB216, (AP218*0.3) + (BB216*0.7))</f>
        <v>3004.379929</v>
      </c>
      <c r="BC218" s="88">
        <f>IF(BB218="","", BB218*0.8)</f>
        <v>2403.503943</v>
      </c>
    </row>
    <row r="219" ht="15.75" customHeight="1">
      <c r="A219" s="16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4"/>
      <c r="O219" s="4"/>
      <c r="P219" s="4"/>
      <c r="Q219" s="4"/>
      <c r="R219" s="4"/>
      <c r="S219" s="5"/>
      <c r="T219" s="4"/>
      <c r="U219" s="5"/>
      <c r="V219" s="4"/>
      <c r="W219" s="4"/>
      <c r="X219" s="4"/>
      <c r="Y219" s="6"/>
      <c r="Z219" s="6"/>
      <c r="AA219" s="7"/>
      <c r="AB219" s="8"/>
      <c r="AC219" s="8"/>
      <c r="AD219" s="8"/>
      <c r="AE219" s="8"/>
      <c r="AF219" s="7"/>
      <c r="AG219" s="7"/>
      <c r="AH219" s="7"/>
      <c r="AI219" s="7"/>
      <c r="AJ219" s="7"/>
      <c r="AK219" s="7"/>
      <c r="AL219" s="7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</row>
    <row r="220" ht="15.75" customHeight="1">
      <c r="A220" s="16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4"/>
      <c r="O220" s="4"/>
      <c r="P220" s="4"/>
      <c r="Q220" s="4"/>
      <c r="R220" s="4"/>
      <c r="S220" s="5"/>
      <c r="T220" s="4"/>
      <c r="U220" s="5"/>
      <c r="V220" s="4"/>
      <c r="W220" s="4"/>
      <c r="X220" s="4"/>
      <c r="Y220" s="6"/>
      <c r="Z220" s="6"/>
      <c r="AA220" s="7"/>
      <c r="AB220" s="8"/>
      <c r="AC220" s="8"/>
      <c r="AD220" s="8"/>
      <c r="AE220" s="8"/>
      <c r="AF220" s="7"/>
      <c r="AG220" s="7"/>
      <c r="AH220" s="7"/>
      <c r="AI220" s="7"/>
      <c r="AJ220" s="7"/>
      <c r="AK220" s="7"/>
      <c r="AL220" s="7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BA220" s="88">
        <f>IF(AM220="", BA218, (AM220*0.3) + (BA218*0.7))</f>
        <v>78.72274376</v>
      </c>
      <c r="BB220" s="88">
        <f>IF(AP220="", BB218, (AP220*0.3) + (BB218*0.7))</f>
        <v>3004.379929</v>
      </c>
      <c r="BC220" s="88">
        <f>IF(BB220="","", BB220*0.8)</f>
        <v>2403.503943</v>
      </c>
    </row>
    <row r="221" ht="15.75" customHeight="1">
      <c r="A221" s="16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4"/>
      <c r="O221" s="4"/>
      <c r="P221" s="4"/>
      <c r="Q221" s="4"/>
      <c r="R221" s="4"/>
      <c r="S221" s="5"/>
      <c r="T221" s="4"/>
      <c r="U221" s="5"/>
      <c r="V221" s="4"/>
      <c r="W221" s="4"/>
      <c r="X221" s="4"/>
      <c r="Y221" s="6"/>
      <c r="Z221" s="6"/>
      <c r="AA221" s="7"/>
      <c r="AB221" s="8"/>
      <c r="AC221" s="8"/>
      <c r="AD221" s="8"/>
      <c r="AE221" s="8"/>
      <c r="AF221" s="7"/>
      <c r="AG221" s="7"/>
      <c r="AH221" s="7"/>
      <c r="AI221" s="7"/>
      <c r="AJ221" s="7"/>
      <c r="AK221" s="7"/>
      <c r="AL221" s="7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</row>
    <row r="222" ht="15.75" customHeight="1">
      <c r="A222" s="16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4"/>
      <c r="O222" s="4"/>
      <c r="P222" s="4"/>
      <c r="Q222" s="4"/>
      <c r="R222" s="4"/>
      <c r="S222" s="5"/>
      <c r="T222" s="4"/>
      <c r="U222" s="5"/>
      <c r="V222" s="4"/>
      <c r="W222" s="4"/>
      <c r="X222" s="4"/>
      <c r="Y222" s="6"/>
      <c r="Z222" s="6"/>
      <c r="AA222" s="7"/>
      <c r="AB222" s="8"/>
      <c r="AC222" s="8"/>
      <c r="AD222" s="8"/>
      <c r="AE222" s="8"/>
      <c r="AF222" s="7"/>
      <c r="AG222" s="7"/>
      <c r="AH222" s="7"/>
      <c r="AI222" s="7"/>
      <c r="AJ222" s="7"/>
      <c r="AK222" s="7"/>
      <c r="AL222" s="7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BA222" s="88">
        <f>IF(AM222="", BA220, (AM222*0.3) + (BA220*0.7))</f>
        <v>78.72274376</v>
      </c>
      <c r="BB222" s="88">
        <f>IF(AP222="", BB220, (AP222*0.3) + (BB220*0.7))</f>
        <v>3004.379929</v>
      </c>
      <c r="BC222" s="88">
        <f>IF(BB222="","", BB222*0.8)</f>
        <v>2403.503943</v>
      </c>
    </row>
    <row r="223" ht="15.75" customHeight="1">
      <c r="A223" s="16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4"/>
      <c r="O223" s="4"/>
      <c r="P223" s="4"/>
      <c r="Q223" s="4"/>
      <c r="R223" s="4"/>
      <c r="S223" s="5"/>
      <c r="T223" s="4"/>
      <c r="U223" s="5"/>
      <c r="V223" s="4"/>
      <c r="W223" s="4"/>
      <c r="X223" s="4"/>
      <c r="Y223" s="6"/>
      <c r="Z223" s="6"/>
      <c r="AA223" s="7"/>
      <c r="AB223" s="8"/>
      <c r="AC223" s="8"/>
      <c r="AD223" s="8"/>
      <c r="AE223" s="8"/>
      <c r="AF223" s="7"/>
      <c r="AG223" s="7"/>
      <c r="AH223" s="7"/>
      <c r="AI223" s="7"/>
      <c r="AJ223" s="7"/>
      <c r="AK223" s="7"/>
      <c r="AL223" s="7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</row>
    <row r="224" ht="15.75" customHeight="1">
      <c r="A224" s="16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4"/>
      <c r="O224" s="4"/>
      <c r="P224" s="4"/>
      <c r="Q224" s="4"/>
      <c r="R224" s="4"/>
      <c r="S224" s="5"/>
      <c r="T224" s="4"/>
      <c r="U224" s="5"/>
      <c r="V224" s="4"/>
      <c r="W224" s="4"/>
      <c r="X224" s="4"/>
      <c r="Y224" s="6"/>
      <c r="Z224" s="6"/>
      <c r="AA224" s="7"/>
      <c r="AB224" s="8"/>
      <c r="AC224" s="8"/>
      <c r="AD224" s="8"/>
      <c r="AE224" s="8"/>
      <c r="AF224" s="7"/>
      <c r="AG224" s="7"/>
      <c r="AH224" s="7"/>
      <c r="AI224" s="7"/>
      <c r="AJ224" s="7"/>
      <c r="AK224" s="7"/>
      <c r="AL224" s="7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BA224" s="88">
        <f>IF(AM224="", BA222, (AM224*0.3) + (BA222*0.7))</f>
        <v>78.72274376</v>
      </c>
      <c r="BB224" s="88">
        <f>IF(AP224="", BB222, (AP224*0.3) + (BB222*0.7))</f>
        <v>3004.379929</v>
      </c>
      <c r="BC224" s="88">
        <f>IF(BB224="","", BB224*0.8)</f>
        <v>2403.503943</v>
      </c>
    </row>
    <row r="225" ht="15.75" customHeight="1">
      <c r="A225" s="16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4"/>
      <c r="O225" s="4"/>
      <c r="P225" s="4"/>
      <c r="Q225" s="4"/>
      <c r="R225" s="4"/>
      <c r="S225" s="5"/>
      <c r="T225" s="4"/>
      <c r="U225" s="5"/>
      <c r="V225" s="4"/>
      <c r="W225" s="4"/>
      <c r="X225" s="4"/>
      <c r="Y225" s="6"/>
      <c r="Z225" s="6"/>
      <c r="AA225" s="7"/>
      <c r="AB225" s="8"/>
      <c r="AC225" s="8"/>
      <c r="AD225" s="8"/>
      <c r="AE225" s="8"/>
      <c r="AF225" s="7"/>
      <c r="AG225" s="7"/>
      <c r="AH225" s="7"/>
      <c r="AI225" s="7"/>
      <c r="AJ225" s="7"/>
      <c r="AK225" s="7"/>
      <c r="AL225" s="7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</row>
    <row r="226" ht="15.75" customHeight="1">
      <c r="A226" s="16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4"/>
      <c r="O226" s="4"/>
      <c r="P226" s="4"/>
      <c r="Q226" s="4"/>
      <c r="R226" s="4"/>
      <c r="S226" s="5"/>
      <c r="T226" s="4"/>
      <c r="U226" s="5"/>
      <c r="V226" s="4"/>
      <c r="W226" s="4"/>
      <c r="X226" s="4"/>
      <c r="Y226" s="6"/>
      <c r="Z226" s="6"/>
      <c r="AA226" s="7"/>
      <c r="AB226" s="8"/>
      <c r="AC226" s="8"/>
      <c r="AD226" s="8"/>
      <c r="AE226" s="8"/>
      <c r="AF226" s="7"/>
      <c r="AG226" s="7"/>
      <c r="AH226" s="7"/>
      <c r="AI226" s="7"/>
      <c r="AJ226" s="7"/>
      <c r="AK226" s="7"/>
      <c r="AL226" s="7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BA226" s="88">
        <f>IF(AM226="", BA224, (AM226*0.3) + (BA224*0.7))</f>
        <v>78.72274376</v>
      </c>
      <c r="BB226" s="88">
        <f>IF(AP226="", BB224, (AP226*0.3) + (BB224*0.7))</f>
        <v>3004.379929</v>
      </c>
      <c r="BC226" s="88">
        <f>IF(BB226="","", BB226*0.8)</f>
        <v>2403.503943</v>
      </c>
    </row>
    <row r="227" ht="15.75" customHeight="1">
      <c r="A227" s="16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4"/>
      <c r="O227" s="4"/>
      <c r="P227" s="4"/>
      <c r="Q227" s="4"/>
      <c r="R227" s="4"/>
      <c r="S227" s="5"/>
      <c r="T227" s="4"/>
      <c r="U227" s="5"/>
      <c r="V227" s="4"/>
      <c r="W227" s="4"/>
      <c r="X227" s="4"/>
      <c r="Y227" s="6"/>
      <c r="Z227" s="6"/>
      <c r="AA227" s="7"/>
      <c r="AB227" s="8"/>
      <c r="AC227" s="8"/>
      <c r="AD227" s="8"/>
      <c r="AE227" s="8"/>
      <c r="AF227" s="7"/>
      <c r="AG227" s="7"/>
      <c r="AH227" s="7"/>
      <c r="AI227" s="7"/>
      <c r="AJ227" s="7"/>
      <c r="AK227" s="7"/>
      <c r="AL227" s="7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</row>
    <row r="228" ht="15.75" customHeight="1">
      <c r="A228" s="16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4"/>
      <c r="O228" s="4"/>
      <c r="P228" s="4"/>
      <c r="Q228" s="4"/>
      <c r="R228" s="4"/>
      <c r="S228" s="5"/>
      <c r="T228" s="4"/>
      <c r="U228" s="5"/>
      <c r="V228" s="4"/>
      <c r="W228" s="4"/>
      <c r="X228" s="4"/>
      <c r="Y228" s="6"/>
      <c r="Z228" s="6"/>
      <c r="AA228" s="7"/>
      <c r="AB228" s="8"/>
      <c r="AC228" s="8"/>
      <c r="AD228" s="8"/>
      <c r="AE228" s="8"/>
      <c r="AF228" s="7"/>
      <c r="AG228" s="7"/>
      <c r="AH228" s="7"/>
      <c r="AI228" s="7"/>
      <c r="AJ228" s="7"/>
      <c r="AK228" s="7"/>
      <c r="AL228" s="7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BA228" s="88">
        <f>IF(AM228="", BA226, (AM228*0.3) + (BA226*0.7))</f>
        <v>78.72274376</v>
      </c>
      <c r="BB228" s="88">
        <f>IF(AP228="", BB226, (AP228*0.3) + (BB226*0.7))</f>
        <v>3004.379929</v>
      </c>
      <c r="BC228" s="88">
        <f>IF(BB228="","", BB228*0.8)</f>
        <v>2403.503943</v>
      </c>
    </row>
    <row r="229" ht="15.75" customHeight="1">
      <c r="A229" s="16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4"/>
      <c r="O229" s="4"/>
      <c r="P229" s="4"/>
      <c r="Q229" s="4"/>
      <c r="R229" s="4"/>
      <c r="S229" s="5"/>
      <c r="T229" s="4"/>
      <c r="U229" s="5"/>
      <c r="V229" s="4"/>
      <c r="W229" s="4"/>
      <c r="X229" s="4"/>
      <c r="Y229" s="6"/>
      <c r="Z229" s="6"/>
      <c r="AA229" s="7"/>
      <c r="AB229" s="8"/>
      <c r="AC229" s="8"/>
      <c r="AD229" s="8"/>
      <c r="AE229" s="8"/>
      <c r="AF229" s="7"/>
      <c r="AG229" s="7"/>
      <c r="AH229" s="7"/>
      <c r="AI229" s="7"/>
      <c r="AJ229" s="7"/>
      <c r="AK229" s="7"/>
      <c r="AL229" s="7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</row>
    <row r="230" ht="15.75" customHeight="1">
      <c r="A230" s="16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4"/>
      <c r="O230" s="4"/>
      <c r="P230" s="4"/>
      <c r="Q230" s="4"/>
      <c r="R230" s="4"/>
      <c r="S230" s="5"/>
      <c r="T230" s="4"/>
      <c r="U230" s="5"/>
      <c r="V230" s="4"/>
      <c r="W230" s="4"/>
      <c r="X230" s="4"/>
      <c r="Y230" s="6"/>
      <c r="Z230" s="6"/>
      <c r="AA230" s="7"/>
      <c r="AB230" s="8"/>
      <c r="AC230" s="8"/>
      <c r="AD230" s="8"/>
      <c r="AE230" s="8"/>
      <c r="AF230" s="7"/>
      <c r="AG230" s="7"/>
      <c r="AH230" s="7"/>
      <c r="AI230" s="7"/>
      <c r="AJ230" s="7"/>
      <c r="AK230" s="7"/>
      <c r="AL230" s="7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BA230" s="88">
        <f>IF(AM230="", BA228, (AM230*0.3) + (BA228*0.7))</f>
        <v>78.72274376</v>
      </c>
      <c r="BB230" s="88">
        <f>IF(AP230="", BB228, (AP230*0.3) + (BB228*0.7))</f>
        <v>3004.379929</v>
      </c>
      <c r="BC230" s="88">
        <f>IF(BB230="","", BB230*0.8)</f>
        <v>2403.503943</v>
      </c>
    </row>
    <row r="231" ht="15.75" customHeight="1">
      <c r="A231" s="16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4"/>
      <c r="O231" s="4"/>
      <c r="P231" s="4"/>
      <c r="Q231" s="4"/>
      <c r="R231" s="4"/>
      <c r="S231" s="5"/>
      <c r="T231" s="4"/>
      <c r="U231" s="5"/>
      <c r="V231" s="4"/>
      <c r="W231" s="4"/>
      <c r="X231" s="4"/>
      <c r="Y231" s="6"/>
      <c r="Z231" s="6"/>
      <c r="AA231" s="7"/>
      <c r="AB231" s="8"/>
      <c r="AC231" s="8"/>
      <c r="AD231" s="8"/>
      <c r="AE231" s="8"/>
      <c r="AF231" s="7"/>
      <c r="AG231" s="7"/>
      <c r="AH231" s="7"/>
      <c r="AI231" s="7"/>
      <c r="AJ231" s="7"/>
      <c r="AK231" s="7"/>
      <c r="AL231" s="7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</row>
    <row r="232" ht="15.75" customHeight="1">
      <c r="A232" s="16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4"/>
      <c r="O232" s="4"/>
      <c r="P232" s="4"/>
      <c r="Q232" s="4"/>
      <c r="R232" s="4"/>
      <c r="S232" s="5"/>
      <c r="T232" s="4"/>
      <c r="U232" s="5"/>
      <c r="V232" s="4"/>
      <c r="W232" s="4"/>
      <c r="X232" s="4"/>
      <c r="Y232" s="6"/>
      <c r="Z232" s="6"/>
      <c r="AA232" s="7"/>
      <c r="AB232" s="8"/>
      <c r="AC232" s="8"/>
      <c r="AD232" s="8"/>
      <c r="AE232" s="8"/>
      <c r="AF232" s="7"/>
      <c r="AG232" s="7"/>
      <c r="AH232" s="7"/>
      <c r="AI232" s="7"/>
      <c r="AJ232" s="7"/>
      <c r="AK232" s="7"/>
      <c r="AL232" s="7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BA232" s="88">
        <f>IF(AM232="", BA230, (AM232*0.3) + (BA230*0.7))</f>
        <v>78.72274376</v>
      </c>
      <c r="BB232" s="88">
        <f>IF(AP232="", BB230, (AP232*0.3) + (BB230*0.7))</f>
        <v>3004.379929</v>
      </c>
      <c r="BC232" s="88">
        <f>IF(BB232="","", BB232*0.8)</f>
        <v>2403.503943</v>
      </c>
    </row>
    <row r="233" ht="15.75" customHeight="1">
      <c r="A233" s="16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4"/>
      <c r="O233" s="4"/>
      <c r="P233" s="4"/>
      <c r="Q233" s="4"/>
      <c r="R233" s="4"/>
      <c r="S233" s="5"/>
      <c r="T233" s="4"/>
      <c r="U233" s="5"/>
      <c r="V233" s="4"/>
      <c r="W233" s="4"/>
      <c r="X233" s="4"/>
      <c r="Y233" s="6"/>
      <c r="Z233" s="6"/>
      <c r="AA233" s="7"/>
      <c r="AB233" s="8"/>
      <c r="AC233" s="8"/>
      <c r="AD233" s="8"/>
      <c r="AE233" s="8"/>
      <c r="AF233" s="7"/>
      <c r="AG233" s="7"/>
      <c r="AH233" s="7"/>
      <c r="AI233" s="7"/>
      <c r="AJ233" s="7"/>
      <c r="AK233" s="7"/>
      <c r="AL233" s="7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</row>
    <row r="234" ht="15.75" customHeight="1">
      <c r="A234" s="16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4"/>
      <c r="O234" s="4"/>
      <c r="P234" s="4"/>
      <c r="Q234" s="4"/>
      <c r="R234" s="4"/>
      <c r="S234" s="5"/>
      <c r="T234" s="4"/>
      <c r="U234" s="5"/>
      <c r="V234" s="4"/>
      <c r="W234" s="4"/>
      <c r="X234" s="4"/>
      <c r="Y234" s="6"/>
      <c r="Z234" s="6"/>
      <c r="AA234" s="7"/>
      <c r="AB234" s="8"/>
      <c r="AC234" s="8"/>
      <c r="AD234" s="8"/>
      <c r="AE234" s="8"/>
      <c r="AF234" s="7"/>
      <c r="AG234" s="7"/>
      <c r="AH234" s="7"/>
      <c r="AI234" s="7"/>
      <c r="AJ234" s="7"/>
      <c r="AK234" s="7"/>
      <c r="AL234" s="7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BA234" s="88">
        <f>IF(AM234="", BA232, (AM234*0.3) + (BA232*0.7))</f>
        <v>78.72274376</v>
      </c>
      <c r="BB234" s="88">
        <f>IF(AP234="", BB232, (AP234*0.3) + (BB232*0.7))</f>
        <v>3004.379929</v>
      </c>
      <c r="BC234" s="88">
        <f>IF(BB234="","", BB234*0.8)</f>
        <v>2403.503943</v>
      </c>
    </row>
    <row r="235" ht="15.75" customHeight="1">
      <c r="A235" s="16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4"/>
      <c r="O235" s="4"/>
      <c r="P235" s="4"/>
      <c r="Q235" s="4"/>
      <c r="R235" s="4"/>
      <c r="S235" s="5"/>
      <c r="T235" s="4"/>
      <c r="U235" s="5"/>
      <c r="V235" s="4"/>
      <c r="W235" s="4"/>
      <c r="X235" s="4"/>
      <c r="Y235" s="6"/>
      <c r="Z235" s="6"/>
      <c r="AA235" s="7"/>
      <c r="AB235" s="8"/>
      <c r="AC235" s="8"/>
      <c r="AD235" s="8"/>
      <c r="AE235" s="8"/>
      <c r="AF235" s="7"/>
      <c r="AG235" s="7"/>
      <c r="AH235" s="7"/>
      <c r="AI235" s="7"/>
      <c r="AJ235" s="7"/>
      <c r="AK235" s="7"/>
      <c r="AL235" s="7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</row>
    <row r="236" ht="15.75" customHeight="1">
      <c r="A236" s="16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4"/>
      <c r="O236" s="4"/>
      <c r="P236" s="4"/>
      <c r="Q236" s="4"/>
      <c r="R236" s="4"/>
      <c r="S236" s="5"/>
      <c r="T236" s="4"/>
      <c r="U236" s="5"/>
      <c r="V236" s="4"/>
      <c r="W236" s="4"/>
      <c r="X236" s="4"/>
      <c r="Y236" s="6"/>
      <c r="Z236" s="6"/>
      <c r="AA236" s="7"/>
      <c r="AB236" s="8"/>
      <c r="AC236" s="8"/>
      <c r="AD236" s="8"/>
      <c r="AE236" s="8"/>
      <c r="AF236" s="7"/>
      <c r="AG236" s="7"/>
      <c r="AH236" s="7"/>
      <c r="AI236" s="7"/>
      <c r="AJ236" s="7"/>
      <c r="AK236" s="7"/>
      <c r="AL236" s="7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BA236" s="88">
        <f>IF(AM236="", BA234, (AM236*0.3) + (BA234*0.7))</f>
        <v>78.72274376</v>
      </c>
      <c r="BB236" s="88">
        <f>IF(AP236="", BB234, (AP236*0.3) + (BB234*0.7))</f>
        <v>3004.379929</v>
      </c>
      <c r="BC236" s="88">
        <f>IF(BB236="","", BB236*0.8)</f>
        <v>2403.503943</v>
      </c>
    </row>
    <row r="237" ht="15.75" customHeight="1">
      <c r="A237" s="16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4"/>
      <c r="O237" s="4"/>
      <c r="P237" s="4"/>
      <c r="Q237" s="4"/>
      <c r="R237" s="4"/>
      <c r="S237" s="5"/>
      <c r="T237" s="4"/>
      <c r="U237" s="5"/>
      <c r="V237" s="4"/>
      <c r="W237" s="4"/>
      <c r="X237" s="4"/>
      <c r="Y237" s="6"/>
      <c r="Z237" s="6"/>
      <c r="AA237" s="7"/>
      <c r="AB237" s="8"/>
      <c r="AC237" s="8"/>
      <c r="AD237" s="8"/>
      <c r="AE237" s="8"/>
      <c r="AF237" s="7"/>
      <c r="AG237" s="7"/>
      <c r="AH237" s="7"/>
      <c r="AI237" s="7"/>
      <c r="AJ237" s="7"/>
      <c r="AK237" s="7"/>
      <c r="AL237" s="7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</row>
    <row r="238" ht="15.75" customHeight="1">
      <c r="A238" s="16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4"/>
      <c r="O238" s="4"/>
      <c r="P238" s="4"/>
      <c r="Q238" s="4"/>
      <c r="R238" s="4"/>
      <c r="S238" s="5"/>
      <c r="T238" s="4"/>
      <c r="U238" s="5"/>
      <c r="V238" s="4"/>
      <c r="W238" s="4"/>
      <c r="X238" s="4"/>
      <c r="Y238" s="6"/>
      <c r="Z238" s="6"/>
      <c r="AA238" s="7"/>
      <c r="AB238" s="8"/>
      <c r="AC238" s="8"/>
      <c r="AD238" s="8"/>
      <c r="AE238" s="8"/>
      <c r="AF238" s="7"/>
      <c r="AG238" s="7"/>
      <c r="AH238" s="7"/>
      <c r="AI238" s="7"/>
      <c r="AJ238" s="7"/>
      <c r="AK238" s="7"/>
      <c r="AL238" s="7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BA238" s="88">
        <f>IF(AM238="", BA236, (AM238*0.3) + (BA236*0.7))</f>
        <v>78.72274376</v>
      </c>
      <c r="BB238" s="88">
        <f>IF(AP238="", BB236, (AP238*0.3) + (BB236*0.7))</f>
        <v>3004.379929</v>
      </c>
      <c r="BC238" s="88">
        <f>IF(BB238="","", BB238*0.8)</f>
        <v>2403.503943</v>
      </c>
    </row>
    <row r="239" ht="15.75" customHeight="1">
      <c r="A239" s="16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4"/>
      <c r="O239" s="4"/>
      <c r="P239" s="4"/>
      <c r="Q239" s="4"/>
      <c r="R239" s="4"/>
      <c r="S239" s="5"/>
      <c r="T239" s="4"/>
      <c r="U239" s="5"/>
      <c r="V239" s="4"/>
      <c r="W239" s="4"/>
      <c r="X239" s="4"/>
      <c r="Y239" s="6"/>
      <c r="Z239" s="6"/>
      <c r="AA239" s="7"/>
      <c r="AB239" s="8"/>
      <c r="AC239" s="8"/>
      <c r="AD239" s="8"/>
      <c r="AE239" s="8"/>
      <c r="AF239" s="7"/>
      <c r="AG239" s="7"/>
      <c r="AH239" s="7"/>
      <c r="AI239" s="7"/>
      <c r="AJ239" s="7"/>
      <c r="AK239" s="7"/>
      <c r="AL239" s="7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</row>
    <row r="240" ht="15.75" customHeight="1">
      <c r="A240" s="16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4"/>
      <c r="O240" s="4"/>
      <c r="P240" s="4"/>
      <c r="Q240" s="4"/>
      <c r="R240" s="4"/>
      <c r="S240" s="5"/>
      <c r="T240" s="4"/>
      <c r="U240" s="5"/>
      <c r="V240" s="4"/>
      <c r="W240" s="4"/>
      <c r="X240" s="4"/>
      <c r="Y240" s="6"/>
      <c r="Z240" s="6"/>
      <c r="AA240" s="7"/>
      <c r="AB240" s="8"/>
      <c r="AC240" s="8"/>
      <c r="AD240" s="8"/>
      <c r="AE240" s="8"/>
      <c r="AF240" s="7"/>
      <c r="AG240" s="7"/>
      <c r="AH240" s="7"/>
      <c r="AI240" s="7"/>
      <c r="AJ240" s="7"/>
      <c r="AK240" s="7"/>
      <c r="AL240" s="7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BA240" s="88">
        <f>IF(AM240="", BA238, (AM240*0.3) + (BA238*0.7))</f>
        <v>78.72274376</v>
      </c>
      <c r="BB240" s="88">
        <f>IF(AP240="", BB238, (AP240*0.3) + (BB238*0.7))</f>
        <v>3004.379929</v>
      </c>
      <c r="BC240" s="88">
        <f>IF(BB240="","", BB240*0.8)</f>
        <v>2403.503943</v>
      </c>
    </row>
    <row r="241" ht="15.75" customHeight="1">
      <c r="A241" s="16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4"/>
      <c r="O241" s="4"/>
      <c r="P241" s="4"/>
      <c r="Q241" s="4"/>
      <c r="R241" s="4"/>
      <c r="S241" s="5"/>
      <c r="T241" s="4"/>
      <c r="U241" s="5"/>
      <c r="V241" s="4"/>
      <c r="W241" s="4"/>
      <c r="X241" s="4"/>
      <c r="Y241" s="6"/>
      <c r="Z241" s="6"/>
      <c r="AA241" s="7"/>
      <c r="AB241" s="8"/>
      <c r="AC241" s="8"/>
      <c r="AD241" s="8"/>
      <c r="AE241" s="8"/>
      <c r="AF241" s="7"/>
      <c r="AG241" s="7"/>
      <c r="AH241" s="7"/>
      <c r="AI241" s="7"/>
      <c r="AJ241" s="7"/>
      <c r="AK241" s="7"/>
      <c r="AL241" s="7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</row>
    <row r="242" ht="15.75" customHeight="1">
      <c r="A242" s="16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4"/>
      <c r="O242" s="4"/>
      <c r="P242" s="4"/>
      <c r="Q242" s="4"/>
      <c r="R242" s="4"/>
      <c r="S242" s="5"/>
      <c r="T242" s="4"/>
      <c r="U242" s="5"/>
      <c r="V242" s="4"/>
      <c r="W242" s="4"/>
      <c r="X242" s="4"/>
      <c r="Y242" s="6"/>
      <c r="Z242" s="6"/>
      <c r="AA242" s="7"/>
      <c r="AB242" s="8"/>
      <c r="AC242" s="8"/>
      <c r="AD242" s="8"/>
      <c r="AE242" s="8"/>
      <c r="AF242" s="7"/>
      <c r="AG242" s="7"/>
      <c r="AH242" s="7"/>
      <c r="AI242" s="7"/>
      <c r="AJ242" s="7"/>
      <c r="AK242" s="7"/>
      <c r="AL242" s="7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BA242" s="88">
        <f>IF(AM242="", BA240, (AM242*0.3) + (BA240*0.7))</f>
        <v>78.72274376</v>
      </c>
      <c r="BB242" s="88">
        <f>IF(AP242="", BB240, (AP242*0.3) + (BB240*0.7))</f>
        <v>3004.379929</v>
      </c>
      <c r="BC242" s="88">
        <f>IF(BB242="","", BB242*0.8)</f>
        <v>2403.503943</v>
      </c>
    </row>
    <row r="243" ht="15.75" customHeight="1">
      <c r="A243" s="16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4"/>
      <c r="O243" s="4"/>
      <c r="P243" s="4"/>
      <c r="Q243" s="4"/>
      <c r="R243" s="4"/>
      <c r="S243" s="5"/>
      <c r="T243" s="4"/>
      <c r="U243" s="5"/>
      <c r="V243" s="4"/>
      <c r="W243" s="4"/>
      <c r="X243" s="4"/>
      <c r="Y243" s="6"/>
      <c r="Z243" s="6"/>
      <c r="AA243" s="7"/>
      <c r="AB243" s="8"/>
      <c r="AC243" s="8"/>
      <c r="AD243" s="8"/>
      <c r="AE243" s="8"/>
      <c r="AF243" s="7"/>
      <c r="AG243" s="7"/>
      <c r="AH243" s="7"/>
      <c r="AI243" s="7"/>
      <c r="AJ243" s="7"/>
      <c r="AK243" s="7"/>
      <c r="AL243" s="7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</row>
    <row r="244" ht="15.75" customHeight="1">
      <c r="A244" s="16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4"/>
      <c r="O244" s="4"/>
      <c r="P244" s="4"/>
      <c r="Q244" s="4"/>
      <c r="R244" s="4"/>
      <c r="S244" s="5"/>
      <c r="T244" s="4"/>
      <c r="U244" s="5"/>
      <c r="V244" s="4"/>
      <c r="W244" s="4"/>
      <c r="X244" s="4"/>
      <c r="Y244" s="6"/>
      <c r="Z244" s="6"/>
      <c r="AA244" s="7"/>
      <c r="AB244" s="8"/>
      <c r="AC244" s="8"/>
      <c r="AD244" s="8"/>
      <c r="AE244" s="8"/>
      <c r="AF244" s="7"/>
      <c r="AG244" s="7"/>
      <c r="AH244" s="7"/>
      <c r="AI244" s="7"/>
      <c r="AJ244" s="7"/>
      <c r="AK244" s="7"/>
      <c r="AL244" s="7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BA244" s="88">
        <f>IF(AM244="", BA242, (AM244*0.3) + (BA242*0.7))</f>
        <v>78.72274376</v>
      </c>
      <c r="BB244" s="88">
        <f>IF(AP244="", BB242, (AP244*0.3) + (BB242*0.7))</f>
        <v>3004.379929</v>
      </c>
      <c r="BC244" s="88">
        <f>IF(BB244="","", BB244*0.8)</f>
        <v>2403.503943</v>
      </c>
    </row>
    <row r="245" ht="15.75" customHeight="1">
      <c r="A245" s="16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4"/>
      <c r="O245" s="4"/>
      <c r="P245" s="4"/>
      <c r="Q245" s="4"/>
      <c r="R245" s="4"/>
      <c r="S245" s="5"/>
      <c r="T245" s="4"/>
      <c r="U245" s="5"/>
      <c r="V245" s="4"/>
      <c r="W245" s="4"/>
      <c r="X245" s="4"/>
      <c r="Y245" s="6"/>
      <c r="Z245" s="6"/>
      <c r="AA245" s="7"/>
      <c r="AB245" s="8"/>
      <c r="AC245" s="8"/>
      <c r="AD245" s="8"/>
      <c r="AE245" s="8"/>
      <c r="AF245" s="7"/>
      <c r="AG245" s="7"/>
      <c r="AH245" s="7"/>
      <c r="AI245" s="7"/>
      <c r="AJ245" s="7"/>
      <c r="AK245" s="7"/>
      <c r="AL245" s="7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</row>
    <row r="246" ht="15.75" customHeight="1">
      <c r="A246" s="16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4"/>
      <c r="O246" s="4"/>
      <c r="P246" s="4"/>
      <c r="Q246" s="4"/>
      <c r="R246" s="4"/>
      <c r="S246" s="5"/>
      <c r="T246" s="4"/>
      <c r="U246" s="5"/>
      <c r="V246" s="4"/>
      <c r="W246" s="4"/>
      <c r="X246" s="4"/>
      <c r="Y246" s="6"/>
      <c r="Z246" s="6"/>
      <c r="AA246" s="7"/>
      <c r="AB246" s="8"/>
      <c r="AC246" s="8"/>
      <c r="AD246" s="8"/>
      <c r="AE246" s="8"/>
      <c r="AF246" s="7"/>
      <c r="AG246" s="7"/>
      <c r="AH246" s="7"/>
      <c r="AI246" s="7"/>
      <c r="AJ246" s="7"/>
      <c r="AK246" s="7"/>
      <c r="AL246" s="7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BA246" s="88">
        <f>IF(AM246="", BA244, (AM246*0.3) + (BA244*0.7))</f>
        <v>78.72274376</v>
      </c>
      <c r="BB246" s="88">
        <f>IF(AP246="", BB244, (AP246*0.3) + (BB244*0.7))</f>
        <v>3004.379929</v>
      </c>
      <c r="BC246" s="88">
        <f>IF(BB246="","", BB246*0.8)</f>
        <v>2403.503943</v>
      </c>
    </row>
    <row r="247" ht="15.75" customHeight="1">
      <c r="A247" s="16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4"/>
      <c r="O247" s="4"/>
      <c r="P247" s="4"/>
      <c r="Q247" s="4"/>
      <c r="R247" s="4"/>
      <c r="S247" s="5"/>
      <c r="T247" s="4"/>
      <c r="U247" s="5"/>
      <c r="V247" s="4"/>
      <c r="W247" s="4"/>
      <c r="X247" s="4"/>
      <c r="Y247" s="6"/>
      <c r="Z247" s="6"/>
      <c r="AA247" s="7"/>
      <c r="AB247" s="8"/>
      <c r="AC247" s="8"/>
      <c r="AD247" s="8"/>
      <c r="AE247" s="8"/>
      <c r="AF247" s="7"/>
      <c r="AG247" s="7"/>
      <c r="AH247" s="7"/>
      <c r="AI247" s="7"/>
      <c r="AJ247" s="7"/>
      <c r="AK247" s="7"/>
      <c r="AL247" s="7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</row>
    <row r="248" ht="15.75" customHeight="1">
      <c r="A248" s="16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4"/>
      <c r="O248" s="4"/>
      <c r="P248" s="4"/>
      <c r="Q248" s="4"/>
      <c r="R248" s="4"/>
      <c r="S248" s="5"/>
      <c r="T248" s="4"/>
      <c r="U248" s="5"/>
      <c r="V248" s="4"/>
      <c r="W248" s="4"/>
      <c r="X248" s="4"/>
      <c r="Y248" s="6"/>
      <c r="Z248" s="6"/>
      <c r="AA248" s="7"/>
      <c r="AB248" s="8"/>
      <c r="AC248" s="8"/>
      <c r="AD248" s="8"/>
      <c r="AE248" s="8"/>
      <c r="AF248" s="7"/>
      <c r="AG248" s="7"/>
      <c r="AH248" s="7"/>
      <c r="AI248" s="7"/>
      <c r="AJ248" s="7"/>
      <c r="AK248" s="7"/>
      <c r="AL248" s="7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BA248" s="88">
        <f>IF(AM248="", BA246, (AM248*0.3) + (BA246*0.7))</f>
        <v>78.72274376</v>
      </c>
      <c r="BB248" s="88">
        <f>IF(AP248="", BB246, (AP248*0.3) + (BB246*0.7))</f>
        <v>3004.379929</v>
      </c>
      <c r="BC248" s="88">
        <f>IF(BB248="","", BB248*0.8)</f>
        <v>2403.503943</v>
      </c>
    </row>
    <row r="249" ht="15.75" customHeight="1">
      <c r="A249" s="16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4"/>
      <c r="O249" s="4"/>
      <c r="P249" s="4"/>
      <c r="Q249" s="4"/>
      <c r="R249" s="4"/>
      <c r="S249" s="5"/>
      <c r="T249" s="4"/>
      <c r="U249" s="5"/>
      <c r="V249" s="4"/>
      <c r="W249" s="4"/>
      <c r="X249" s="4"/>
      <c r="Y249" s="6"/>
      <c r="Z249" s="6"/>
      <c r="AA249" s="7"/>
      <c r="AB249" s="8"/>
      <c r="AC249" s="8"/>
      <c r="AD249" s="8"/>
      <c r="AE249" s="8"/>
      <c r="AF249" s="7"/>
      <c r="AG249" s="7"/>
      <c r="AH249" s="7"/>
      <c r="AI249" s="7"/>
      <c r="AJ249" s="7"/>
      <c r="AK249" s="7"/>
      <c r="AL249" s="7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</row>
    <row r="250" ht="15.75" customHeight="1">
      <c r="A250" s="16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4"/>
      <c r="O250" s="4"/>
      <c r="P250" s="4"/>
      <c r="Q250" s="4"/>
      <c r="R250" s="4"/>
      <c r="S250" s="5"/>
      <c r="T250" s="4"/>
      <c r="U250" s="5"/>
      <c r="V250" s="4"/>
      <c r="W250" s="4"/>
      <c r="X250" s="4"/>
      <c r="Y250" s="6"/>
      <c r="Z250" s="6"/>
      <c r="AA250" s="7"/>
      <c r="AB250" s="8"/>
      <c r="AC250" s="8"/>
      <c r="AD250" s="8"/>
      <c r="AE250" s="8"/>
      <c r="AF250" s="7"/>
      <c r="AG250" s="7"/>
      <c r="AH250" s="7"/>
      <c r="AI250" s="7"/>
      <c r="AJ250" s="7"/>
      <c r="AK250" s="7"/>
      <c r="AL250" s="7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BA250" s="88">
        <f>IF(AM250="", BA248, (AM250*0.3) + (BA248*0.7))</f>
        <v>78.72274376</v>
      </c>
      <c r="BB250" s="88">
        <f>IF(AP250="", BB248, (AP250*0.3) + (BB248*0.7))</f>
        <v>3004.379929</v>
      </c>
      <c r="BC250" s="88">
        <f>IF(BB250="","", BB250*0.8)</f>
        <v>2403.503943</v>
      </c>
    </row>
    <row r="251" ht="15.75" customHeight="1">
      <c r="A251" s="16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4"/>
      <c r="O251" s="4"/>
      <c r="P251" s="4"/>
      <c r="Q251" s="4"/>
      <c r="R251" s="4"/>
      <c r="S251" s="5"/>
      <c r="T251" s="4"/>
      <c r="U251" s="5"/>
      <c r="V251" s="4"/>
      <c r="W251" s="4"/>
      <c r="X251" s="4"/>
      <c r="Y251" s="6"/>
      <c r="Z251" s="6"/>
      <c r="AA251" s="7"/>
      <c r="AB251" s="8"/>
      <c r="AC251" s="8"/>
      <c r="AD251" s="8"/>
      <c r="AE251" s="8"/>
      <c r="AF251" s="7"/>
      <c r="AG251" s="7"/>
      <c r="AH251" s="7"/>
      <c r="AI251" s="7"/>
      <c r="AJ251" s="7"/>
      <c r="AK251" s="7"/>
      <c r="AL251" s="7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</row>
    <row r="252" ht="15.75" customHeight="1">
      <c r="A252" s="16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4"/>
      <c r="O252" s="4"/>
      <c r="P252" s="4"/>
      <c r="Q252" s="4"/>
      <c r="R252" s="4"/>
      <c r="S252" s="5"/>
      <c r="T252" s="4"/>
      <c r="U252" s="5"/>
      <c r="V252" s="4"/>
      <c r="W252" s="4"/>
      <c r="X252" s="4"/>
      <c r="Y252" s="6"/>
      <c r="Z252" s="6"/>
      <c r="AA252" s="7"/>
      <c r="AB252" s="8"/>
      <c r="AC252" s="8"/>
      <c r="AD252" s="8"/>
      <c r="AE252" s="8"/>
      <c r="AF252" s="7"/>
      <c r="AG252" s="7"/>
      <c r="AH252" s="7"/>
      <c r="AI252" s="7"/>
      <c r="AJ252" s="7"/>
      <c r="AK252" s="7"/>
      <c r="AL252" s="7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BA252" s="88">
        <f>IF(AM252="", BA250, (AM252*0.3) + (BA250*0.7))</f>
        <v>78.72274376</v>
      </c>
      <c r="BB252" s="88">
        <f>IF(AP252="", BB250, (AP252*0.3) + (BB250*0.7))</f>
        <v>3004.379929</v>
      </c>
      <c r="BC252" s="88">
        <f>IF(BB252="","", BB252*0.8)</f>
        <v>2403.503943</v>
      </c>
    </row>
    <row r="253" ht="15.75" customHeight="1">
      <c r="A253" s="16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4"/>
      <c r="O253" s="4"/>
      <c r="P253" s="4"/>
      <c r="Q253" s="4"/>
      <c r="R253" s="4"/>
      <c r="S253" s="5"/>
      <c r="T253" s="4"/>
      <c r="U253" s="5"/>
      <c r="V253" s="4"/>
      <c r="W253" s="4"/>
      <c r="X253" s="4"/>
      <c r="Y253" s="6"/>
      <c r="Z253" s="6"/>
      <c r="AA253" s="7"/>
      <c r="AB253" s="8"/>
      <c r="AC253" s="8"/>
      <c r="AD253" s="8"/>
      <c r="AE253" s="8"/>
      <c r="AF253" s="7"/>
      <c r="AG253" s="7"/>
      <c r="AH253" s="7"/>
      <c r="AI253" s="7"/>
      <c r="AJ253" s="7"/>
      <c r="AK253" s="7"/>
      <c r="AL253" s="7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</row>
    <row r="254" ht="15.75" customHeight="1">
      <c r="A254" s="16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4"/>
      <c r="O254" s="4"/>
      <c r="P254" s="4"/>
      <c r="Q254" s="4"/>
      <c r="R254" s="4"/>
      <c r="S254" s="5"/>
      <c r="T254" s="4"/>
      <c r="U254" s="5"/>
      <c r="V254" s="4"/>
      <c r="W254" s="4"/>
      <c r="X254" s="4"/>
      <c r="Y254" s="6"/>
      <c r="Z254" s="6"/>
      <c r="AA254" s="7"/>
      <c r="AB254" s="8"/>
      <c r="AC254" s="8"/>
      <c r="AD254" s="8"/>
      <c r="AE254" s="8"/>
      <c r="AF254" s="7"/>
      <c r="AG254" s="7"/>
      <c r="AH254" s="7"/>
      <c r="AI254" s="7"/>
      <c r="AJ254" s="7"/>
      <c r="AK254" s="7"/>
      <c r="AL254" s="7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BA254" s="88">
        <f>IF(AM254="", BA252, (AM254*0.3) + (BA252*0.7))</f>
        <v>78.72274376</v>
      </c>
      <c r="BB254" s="88">
        <f>IF(AP254="", BB252, (AP254*0.3) + (BB252*0.7))</f>
        <v>3004.379929</v>
      </c>
      <c r="BC254" s="88">
        <f>IF(BB254="","", BB254*0.8)</f>
        <v>2403.503943</v>
      </c>
    </row>
    <row r="255" ht="15.75" customHeight="1">
      <c r="A255" s="16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4"/>
      <c r="O255" s="4"/>
      <c r="P255" s="4"/>
      <c r="Q255" s="4"/>
      <c r="R255" s="4"/>
      <c r="S255" s="5"/>
      <c r="T255" s="4"/>
      <c r="U255" s="5"/>
      <c r="V255" s="4"/>
      <c r="W255" s="4"/>
      <c r="X255" s="4"/>
      <c r="Y255" s="6"/>
      <c r="Z255" s="6"/>
      <c r="AA255" s="7"/>
      <c r="AB255" s="8"/>
      <c r="AC255" s="8"/>
      <c r="AD255" s="8"/>
      <c r="AE255" s="8"/>
      <c r="AF255" s="7"/>
      <c r="AG255" s="7"/>
      <c r="AH255" s="7"/>
      <c r="AI255" s="7"/>
      <c r="AJ255" s="7"/>
      <c r="AK255" s="7"/>
      <c r="AL255" s="7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</row>
    <row r="256" ht="15.75" customHeight="1">
      <c r="A256" s="16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4"/>
      <c r="O256" s="4"/>
      <c r="P256" s="4"/>
      <c r="Q256" s="4"/>
      <c r="R256" s="4"/>
      <c r="S256" s="5"/>
      <c r="T256" s="4"/>
      <c r="U256" s="5"/>
      <c r="V256" s="4"/>
      <c r="W256" s="4"/>
      <c r="X256" s="4"/>
      <c r="Y256" s="6"/>
      <c r="Z256" s="6"/>
      <c r="AA256" s="7"/>
      <c r="AB256" s="8"/>
      <c r="AC256" s="8"/>
      <c r="AD256" s="8"/>
      <c r="AE256" s="8"/>
      <c r="AF256" s="7"/>
      <c r="AG256" s="7"/>
      <c r="AH256" s="7"/>
      <c r="AI256" s="7"/>
      <c r="AJ256" s="7"/>
      <c r="AK256" s="7"/>
      <c r="AL256" s="7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BA256" s="88">
        <f>IF(AM256="", BA254, (AM256*0.3) + (BA254*0.7))</f>
        <v>78.72274376</v>
      </c>
      <c r="BB256" s="88">
        <f>IF(AP256="", BB254, (AP256*0.3) + (BB254*0.7))</f>
        <v>3004.379929</v>
      </c>
      <c r="BC256" s="88">
        <f>IF(BB256="","", BB256*0.8)</f>
        <v>2403.503943</v>
      </c>
    </row>
    <row r="257" ht="15.75" customHeight="1">
      <c r="A257" s="16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4"/>
      <c r="O257" s="4"/>
      <c r="P257" s="4"/>
      <c r="Q257" s="4"/>
      <c r="R257" s="4"/>
      <c r="S257" s="5"/>
      <c r="T257" s="4"/>
      <c r="U257" s="5"/>
      <c r="V257" s="4"/>
      <c r="W257" s="4"/>
      <c r="X257" s="4"/>
      <c r="Y257" s="6"/>
      <c r="Z257" s="6"/>
      <c r="AA257" s="7"/>
      <c r="AB257" s="8"/>
      <c r="AC257" s="8"/>
      <c r="AD257" s="8"/>
      <c r="AE257" s="8"/>
      <c r="AF257" s="7"/>
      <c r="AG257" s="7"/>
      <c r="AH257" s="7"/>
      <c r="AI257" s="7"/>
      <c r="AJ257" s="7"/>
      <c r="AK257" s="7"/>
      <c r="AL257" s="7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</row>
    <row r="258" ht="15.75" customHeight="1">
      <c r="A258" s="16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4"/>
      <c r="O258" s="4"/>
      <c r="P258" s="4"/>
      <c r="Q258" s="4"/>
      <c r="R258" s="4"/>
      <c r="S258" s="5"/>
      <c r="T258" s="4"/>
      <c r="U258" s="5"/>
      <c r="V258" s="4"/>
      <c r="W258" s="4"/>
      <c r="X258" s="4"/>
      <c r="Y258" s="6"/>
      <c r="Z258" s="6"/>
      <c r="AA258" s="7"/>
      <c r="AB258" s="8"/>
      <c r="AC258" s="8"/>
      <c r="AD258" s="8"/>
      <c r="AE258" s="8"/>
      <c r="AF258" s="7"/>
      <c r="AG258" s="7"/>
      <c r="AH258" s="7"/>
      <c r="AI258" s="7"/>
      <c r="AJ258" s="7"/>
      <c r="AK258" s="7"/>
      <c r="AL258" s="7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BA258" s="88">
        <f>IF(AM258="", BA256, (AM258*0.3) + (BA256*0.7))</f>
        <v>78.72274376</v>
      </c>
      <c r="BB258" s="88">
        <f>IF(AP258="", BB256, (AP258*0.3) + (BB256*0.7))</f>
        <v>3004.379929</v>
      </c>
      <c r="BC258" s="88">
        <f>IF(BB258="","", BB258*0.8)</f>
        <v>2403.503943</v>
      </c>
    </row>
    <row r="259" ht="15.75" customHeight="1">
      <c r="A259" s="16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4"/>
      <c r="O259" s="4"/>
      <c r="P259" s="4"/>
      <c r="Q259" s="4"/>
      <c r="R259" s="4"/>
      <c r="S259" s="5"/>
      <c r="T259" s="4"/>
      <c r="U259" s="5"/>
      <c r="V259" s="4"/>
      <c r="W259" s="4"/>
      <c r="X259" s="4"/>
      <c r="Y259" s="6"/>
      <c r="Z259" s="6"/>
      <c r="AA259" s="7"/>
      <c r="AB259" s="8"/>
      <c r="AC259" s="8"/>
      <c r="AD259" s="8"/>
      <c r="AE259" s="8"/>
      <c r="AF259" s="7"/>
      <c r="AG259" s="7"/>
      <c r="AH259" s="7"/>
      <c r="AI259" s="7"/>
      <c r="AJ259" s="7"/>
      <c r="AK259" s="7"/>
      <c r="AL259" s="7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</row>
    <row r="260" ht="15.75" customHeight="1">
      <c r="A260" s="16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4"/>
      <c r="O260" s="4"/>
      <c r="P260" s="4"/>
      <c r="Q260" s="4"/>
      <c r="R260" s="4"/>
      <c r="S260" s="5"/>
      <c r="T260" s="4"/>
      <c r="U260" s="5"/>
      <c r="V260" s="4"/>
      <c r="W260" s="4"/>
      <c r="X260" s="4"/>
      <c r="Y260" s="6"/>
      <c r="Z260" s="6"/>
      <c r="AA260" s="7"/>
      <c r="AB260" s="8"/>
      <c r="AC260" s="8"/>
      <c r="AD260" s="8"/>
      <c r="AE260" s="8"/>
      <c r="AF260" s="7"/>
      <c r="AG260" s="7"/>
      <c r="AH260" s="7"/>
      <c r="AI260" s="7"/>
      <c r="AJ260" s="7"/>
      <c r="AK260" s="7"/>
      <c r="AL260" s="7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BA260" s="88">
        <f>IF(AM260="", BA258, (AM260*0.3) + (BA258*0.7))</f>
        <v>78.72274376</v>
      </c>
      <c r="BB260" s="88">
        <f>IF(AP260="", BB258, (AP260*0.3) + (BB258*0.7))</f>
        <v>3004.379929</v>
      </c>
      <c r="BC260" s="88">
        <f>IF(BB260="","", BB260*0.8)</f>
        <v>2403.503943</v>
      </c>
    </row>
    <row r="261" ht="15.75" customHeight="1">
      <c r="A261" s="16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4"/>
      <c r="O261" s="4"/>
      <c r="P261" s="4"/>
      <c r="Q261" s="4"/>
      <c r="R261" s="4"/>
      <c r="S261" s="5"/>
      <c r="T261" s="4"/>
      <c r="U261" s="5"/>
      <c r="V261" s="4"/>
      <c r="W261" s="4"/>
      <c r="X261" s="4"/>
      <c r="Y261" s="6"/>
      <c r="Z261" s="6"/>
      <c r="AA261" s="7"/>
      <c r="AB261" s="8"/>
      <c r="AC261" s="8"/>
      <c r="AD261" s="8"/>
      <c r="AE261" s="8"/>
      <c r="AF261" s="7"/>
      <c r="AG261" s="7"/>
      <c r="AH261" s="7"/>
      <c r="AI261" s="7"/>
      <c r="AJ261" s="7"/>
      <c r="AK261" s="7"/>
      <c r="AL261" s="7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</row>
    <row r="262" ht="15.75" customHeight="1">
      <c r="A262" s="16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4"/>
      <c r="O262" s="4"/>
      <c r="P262" s="4"/>
      <c r="Q262" s="4"/>
      <c r="R262" s="4"/>
      <c r="S262" s="5"/>
      <c r="T262" s="4"/>
      <c r="U262" s="5"/>
      <c r="V262" s="4"/>
      <c r="W262" s="4"/>
      <c r="X262" s="4"/>
      <c r="Y262" s="6"/>
      <c r="Z262" s="6"/>
      <c r="AA262" s="7"/>
      <c r="AB262" s="8"/>
      <c r="AC262" s="8"/>
      <c r="AD262" s="8"/>
      <c r="AE262" s="8"/>
      <c r="AF262" s="7"/>
      <c r="AG262" s="7"/>
      <c r="AH262" s="7"/>
      <c r="AI262" s="7"/>
      <c r="AJ262" s="7"/>
      <c r="AK262" s="7"/>
      <c r="AL262" s="7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BA262" s="88">
        <f>IF(AM262="", BA260, (AM262*0.3) + (BA260*0.7))</f>
        <v>78.72274376</v>
      </c>
      <c r="BB262" s="88">
        <f>IF(AP262="", BB260, (AP262*0.3) + (BB260*0.7))</f>
        <v>3004.379929</v>
      </c>
      <c r="BC262" s="88">
        <f>IF(BB262="","", BB262*0.8)</f>
        <v>2403.503943</v>
      </c>
    </row>
    <row r="263" ht="15.75" customHeight="1">
      <c r="A263" s="16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4"/>
      <c r="O263" s="4"/>
      <c r="P263" s="4"/>
      <c r="Q263" s="4"/>
      <c r="R263" s="4"/>
      <c r="S263" s="5"/>
      <c r="T263" s="4"/>
      <c r="U263" s="5"/>
      <c r="V263" s="4"/>
      <c r="W263" s="4"/>
      <c r="X263" s="4"/>
      <c r="Y263" s="6"/>
      <c r="Z263" s="6"/>
      <c r="AA263" s="7"/>
      <c r="AB263" s="8"/>
      <c r="AC263" s="8"/>
      <c r="AD263" s="8"/>
      <c r="AE263" s="8"/>
      <c r="AF263" s="7"/>
      <c r="AG263" s="7"/>
      <c r="AH263" s="7"/>
      <c r="AI263" s="7"/>
      <c r="AJ263" s="7"/>
      <c r="AK263" s="7"/>
      <c r="AL263" s="7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</row>
    <row r="264" ht="15.75" customHeight="1">
      <c r="A264" s="16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4"/>
      <c r="O264" s="4"/>
      <c r="P264" s="4"/>
      <c r="Q264" s="4"/>
      <c r="R264" s="4"/>
      <c r="S264" s="5"/>
      <c r="T264" s="4"/>
      <c r="U264" s="5"/>
      <c r="V264" s="4"/>
      <c r="W264" s="4"/>
      <c r="X264" s="4"/>
      <c r="Y264" s="6"/>
      <c r="Z264" s="6"/>
      <c r="AA264" s="7"/>
      <c r="AB264" s="8"/>
      <c r="AC264" s="8"/>
      <c r="AD264" s="8"/>
      <c r="AE264" s="8"/>
      <c r="AF264" s="7"/>
      <c r="AG264" s="7"/>
      <c r="AH264" s="7"/>
      <c r="AI264" s="7"/>
      <c r="AJ264" s="7"/>
      <c r="AK264" s="7"/>
      <c r="AL264" s="7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BA264" s="88">
        <f>IF(AM264="", BA262, (AM264*0.3) + (BA262*0.7))</f>
        <v>78.72274376</v>
      </c>
      <c r="BB264" s="88">
        <f>IF(AP264="", BB262, (AP264*0.3) + (BB262*0.7))</f>
        <v>3004.379929</v>
      </c>
      <c r="BC264" s="88">
        <f>IF(BB264="","", BB264*0.8)</f>
        <v>2403.503943</v>
      </c>
    </row>
    <row r="265" ht="15.75" customHeight="1">
      <c r="A265" s="16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4"/>
      <c r="O265" s="4"/>
      <c r="P265" s="4"/>
      <c r="Q265" s="4"/>
      <c r="R265" s="4"/>
      <c r="S265" s="5"/>
      <c r="T265" s="4"/>
      <c r="U265" s="5"/>
      <c r="V265" s="4"/>
      <c r="W265" s="4"/>
      <c r="X265" s="4"/>
      <c r="Y265" s="6"/>
      <c r="Z265" s="6"/>
      <c r="AA265" s="7"/>
      <c r="AB265" s="8"/>
      <c r="AC265" s="8"/>
      <c r="AD265" s="8"/>
      <c r="AE265" s="8"/>
      <c r="AF265" s="7"/>
      <c r="AG265" s="7"/>
      <c r="AH265" s="7"/>
      <c r="AI265" s="7"/>
      <c r="AJ265" s="7"/>
      <c r="AK265" s="7"/>
      <c r="AL265" s="7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</row>
    <row r="266" ht="15.75" customHeight="1">
      <c r="A266" s="16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4"/>
      <c r="O266" s="4"/>
      <c r="P266" s="4"/>
      <c r="Q266" s="4"/>
      <c r="R266" s="4"/>
      <c r="S266" s="5"/>
      <c r="T266" s="4"/>
      <c r="U266" s="5"/>
      <c r="V266" s="4"/>
      <c r="W266" s="4"/>
      <c r="X266" s="4"/>
      <c r="Y266" s="6"/>
      <c r="Z266" s="6"/>
      <c r="AA266" s="7"/>
      <c r="AB266" s="8"/>
      <c r="AC266" s="8"/>
      <c r="AD266" s="8"/>
      <c r="AE266" s="8"/>
      <c r="AF266" s="7"/>
      <c r="AG266" s="7"/>
      <c r="AH266" s="7"/>
      <c r="AI266" s="7"/>
      <c r="AJ266" s="7"/>
      <c r="AK266" s="7"/>
      <c r="AL266" s="7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BA266" s="88">
        <f>IF(AM266="", BA264, (AM266*0.3) + (BA264*0.7))</f>
        <v>78.72274376</v>
      </c>
      <c r="BB266" s="88">
        <f>IF(AP266="", BB264, (AP266*0.3) + (BB264*0.7))</f>
        <v>3004.379929</v>
      </c>
      <c r="BC266" s="88">
        <f>IF(BB266="","", BB266*0.8)</f>
        <v>2403.503943</v>
      </c>
    </row>
    <row r="267" ht="15.75" customHeight="1">
      <c r="A267" s="16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4"/>
      <c r="O267" s="4"/>
      <c r="P267" s="4"/>
      <c r="Q267" s="4"/>
      <c r="R267" s="4"/>
      <c r="S267" s="5"/>
      <c r="T267" s="4"/>
      <c r="U267" s="5"/>
      <c r="V267" s="4"/>
      <c r="W267" s="4"/>
      <c r="X267" s="4"/>
      <c r="Y267" s="6"/>
      <c r="Z267" s="6"/>
      <c r="AA267" s="7"/>
      <c r="AB267" s="8"/>
      <c r="AC267" s="8"/>
      <c r="AD267" s="8"/>
      <c r="AE267" s="8"/>
      <c r="AF267" s="7"/>
      <c r="AG267" s="7"/>
      <c r="AH267" s="7"/>
      <c r="AI267" s="7"/>
      <c r="AJ267" s="7"/>
      <c r="AK267" s="7"/>
      <c r="AL267" s="7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</row>
    <row r="268" ht="15.75" customHeight="1">
      <c r="A268" s="16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4"/>
      <c r="O268" s="4"/>
      <c r="P268" s="4"/>
      <c r="Q268" s="4"/>
      <c r="R268" s="4"/>
      <c r="S268" s="5"/>
      <c r="T268" s="4"/>
      <c r="U268" s="5"/>
      <c r="V268" s="4"/>
      <c r="W268" s="4"/>
      <c r="X268" s="4"/>
      <c r="Y268" s="6"/>
      <c r="Z268" s="6"/>
      <c r="AA268" s="7"/>
      <c r="AB268" s="8"/>
      <c r="AC268" s="8"/>
      <c r="AD268" s="8"/>
      <c r="AE268" s="8"/>
      <c r="AF268" s="7"/>
      <c r="AG268" s="7"/>
      <c r="AH268" s="7"/>
      <c r="AI268" s="7"/>
      <c r="AJ268" s="7"/>
      <c r="AK268" s="7"/>
      <c r="AL268" s="7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BA268" s="88">
        <f>IF(AM268="", BA266, (AM268*0.3) + (BA266*0.7))</f>
        <v>78.72274376</v>
      </c>
      <c r="BB268" s="88">
        <f>IF(AP268="", BB266, (AP268*0.3) + (BB266*0.7))</f>
        <v>3004.379929</v>
      </c>
      <c r="BC268" s="88">
        <f>IF(BB268="","", BB268*0.8)</f>
        <v>2403.503943</v>
      </c>
    </row>
    <row r="269" ht="15.75" customHeight="1">
      <c r="A269" s="16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4"/>
      <c r="O269" s="4"/>
      <c r="P269" s="4"/>
      <c r="Q269" s="4"/>
      <c r="R269" s="4"/>
      <c r="S269" s="5"/>
      <c r="T269" s="4"/>
      <c r="U269" s="5"/>
      <c r="V269" s="4"/>
      <c r="W269" s="4"/>
      <c r="X269" s="4"/>
      <c r="Y269" s="6"/>
      <c r="Z269" s="6"/>
      <c r="AA269" s="7"/>
      <c r="AB269" s="8"/>
      <c r="AC269" s="8"/>
      <c r="AD269" s="8"/>
      <c r="AE269" s="8"/>
      <c r="AF269" s="7"/>
      <c r="AG269" s="7"/>
      <c r="AH269" s="7"/>
      <c r="AI269" s="7"/>
      <c r="AJ269" s="7"/>
      <c r="AK269" s="7"/>
      <c r="AL269" s="7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</row>
    <row r="270" ht="15.75" customHeight="1">
      <c r="A270" s="16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4"/>
      <c r="O270" s="4"/>
      <c r="P270" s="4"/>
      <c r="Q270" s="4"/>
      <c r="R270" s="4"/>
      <c r="S270" s="5"/>
      <c r="T270" s="4"/>
      <c r="U270" s="5"/>
      <c r="V270" s="4"/>
      <c r="W270" s="4"/>
      <c r="X270" s="4"/>
      <c r="Y270" s="6"/>
      <c r="Z270" s="6"/>
      <c r="AA270" s="7"/>
      <c r="AB270" s="8"/>
      <c r="AC270" s="8"/>
      <c r="AD270" s="8"/>
      <c r="AE270" s="8"/>
      <c r="AF270" s="7"/>
      <c r="AG270" s="7"/>
      <c r="AH270" s="7"/>
      <c r="AI270" s="7"/>
      <c r="AJ270" s="7"/>
      <c r="AK270" s="7"/>
      <c r="AL270" s="7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BA270" s="88">
        <f>IF(AM270="", BA268, (AM270*0.3) + (BA268*0.7))</f>
        <v>78.72274376</v>
      </c>
      <c r="BB270" s="88">
        <f>IF(AP270="", BB268, (AP270*0.3) + (BB268*0.7))</f>
        <v>3004.379929</v>
      </c>
      <c r="BC270" s="88">
        <f>IF(BB270="","", BB270*0.8)</f>
        <v>2403.503943</v>
      </c>
    </row>
    <row r="271" ht="15.75" customHeight="1">
      <c r="A271" s="16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4"/>
      <c r="O271" s="4"/>
      <c r="P271" s="4"/>
      <c r="Q271" s="4"/>
      <c r="R271" s="4"/>
      <c r="S271" s="5"/>
      <c r="T271" s="4"/>
      <c r="U271" s="5"/>
      <c r="V271" s="4"/>
      <c r="W271" s="4"/>
      <c r="X271" s="4"/>
      <c r="Y271" s="6"/>
      <c r="Z271" s="6"/>
      <c r="AA271" s="7"/>
      <c r="AB271" s="8"/>
      <c r="AC271" s="8"/>
      <c r="AD271" s="8"/>
      <c r="AE271" s="8"/>
      <c r="AF271" s="7"/>
      <c r="AG271" s="7"/>
      <c r="AH271" s="7"/>
      <c r="AI271" s="7"/>
      <c r="AJ271" s="7"/>
      <c r="AK271" s="7"/>
      <c r="AL271" s="7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</row>
    <row r="272" ht="15.75" customHeight="1">
      <c r="A272" s="16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4"/>
      <c r="O272" s="4"/>
      <c r="P272" s="4"/>
      <c r="Q272" s="4"/>
      <c r="R272" s="4"/>
      <c r="S272" s="5"/>
      <c r="T272" s="4"/>
      <c r="U272" s="5"/>
      <c r="V272" s="4"/>
      <c r="W272" s="4"/>
      <c r="X272" s="4"/>
      <c r="Y272" s="6"/>
      <c r="Z272" s="6"/>
      <c r="AA272" s="7"/>
      <c r="AB272" s="8"/>
      <c r="AC272" s="8"/>
      <c r="AD272" s="8"/>
      <c r="AE272" s="8"/>
      <c r="AF272" s="7"/>
      <c r="AG272" s="7"/>
      <c r="AH272" s="7"/>
      <c r="AI272" s="7"/>
      <c r="AJ272" s="7"/>
      <c r="AK272" s="7"/>
      <c r="AL272" s="7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BA272" s="88">
        <f>IF(AM272="", BA270, (AM272*0.3) + (BA270*0.7))</f>
        <v>78.72274376</v>
      </c>
      <c r="BB272" s="88">
        <f>IF(AP272="", BB270, (AP272*0.3) + (BB270*0.7))</f>
        <v>3004.379929</v>
      </c>
      <c r="BC272" s="88">
        <f>IF(BB272="","", BB272*0.8)</f>
        <v>2403.503943</v>
      </c>
    </row>
    <row r="273" ht="15.75" customHeight="1">
      <c r="A273" s="16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4"/>
      <c r="O273" s="4"/>
      <c r="P273" s="4"/>
      <c r="Q273" s="4"/>
      <c r="R273" s="4"/>
      <c r="S273" s="5"/>
      <c r="T273" s="4"/>
      <c r="U273" s="5"/>
      <c r="V273" s="4"/>
      <c r="W273" s="4"/>
      <c r="X273" s="4"/>
      <c r="Y273" s="6"/>
      <c r="Z273" s="6"/>
      <c r="AA273" s="7"/>
      <c r="AB273" s="8"/>
      <c r="AC273" s="8"/>
      <c r="AD273" s="8"/>
      <c r="AE273" s="8"/>
      <c r="AF273" s="7"/>
      <c r="AG273" s="7"/>
      <c r="AH273" s="7"/>
      <c r="AI273" s="7"/>
      <c r="AJ273" s="7"/>
      <c r="AK273" s="7"/>
      <c r="AL273" s="7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</row>
    <row r="274" ht="15.75" customHeight="1">
      <c r="A274" s="16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4"/>
      <c r="O274" s="4"/>
      <c r="P274" s="4"/>
      <c r="Q274" s="4"/>
      <c r="R274" s="4"/>
      <c r="S274" s="5"/>
      <c r="T274" s="4"/>
      <c r="U274" s="5"/>
      <c r="V274" s="4"/>
      <c r="W274" s="4"/>
      <c r="X274" s="4"/>
      <c r="Y274" s="6"/>
      <c r="Z274" s="6"/>
      <c r="AA274" s="7"/>
      <c r="AB274" s="8"/>
      <c r="AC274" s="8"/>
      <c r="AD274" s="8"/>
      <c r="AE274" s="8"/>
      <c r="AF274" s="7"/>
      <c r="AG274" s="7"/>
      <c r="AH274" s="7"/>
      <c r="AI274" s="7"/>
      <c r="AJ274" s="7"/>
      <c r="AK274" s="7"/>
      <c r="AL274" s="7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BA274" s="88">
        <f>IF(AM274="", BA272, (AM274*0.3) + (BA272*0.7))</f>
        <v>78.72274376</v>
      </c>
      <c r="BB274" s="88">
        <f>IF(AP274="", BB272, (AP274*0.3) + (BB272*0.7))</f>
        <v>3004.379929</v>
      </c>
      <c r="BC274" s="88">
        <f>IF(BB274="","", BB274*0.8)</f>
        <v>2403.503943</v>
      </c>
    </row>
    <row r="275" ht="15.75" customHeight="1">
      <c r="A275" s="16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4"/>
      <c r="O275" s="4"/>
      <c r="P275" s="4"/>
      <c r="Q275" s="4"/>
      <c r="R275" s="4"/>
      <c r="S275" s="5"/>
      <c r="T275" s="4"/>
      <c r="U275" s="5"/>
      <c r="V275" s="4"/>
      <c r="W275" s="4"/>
      <c r="X275" s="4"/>
      <c r="Y275" s="6"/>
      <c r="Z275" s="6"/>
      <c r="AA275" s="7"/>
      <c r="AB275" s="8"/>
      <c r="AC275" s="8"/>
      <c r="AD275" s="8"/>
      <c r="AE275" s="8"/>
      <c r="AF275" s="7"/>
      <c r="AG275" s="7"/>
      <c r="AH275" s="7"/>
      <c r="AI275" s="7"/>
      <c r="AJ275" s="7"/>
      <c r="AK275" s="7"/>
      <c r="AL275" s="7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</row>
    <row r="276" ht="15.75" customHeight="1">
      <c r="A276" s="16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4"/>
      <c r="O276" s="4"/>
      <c r="P276" s="4"/>
      <c r="Q276" s="4"/>
      <c r="R276" s="4"/>
      <c r="S276" s="5"/>
      <c r="T276" s="4"/>
      <c r="U276" s="5"/>
      <c r="V276" s="4"/>
      <c r="W276" s="4"/>
      <c r="X276" s="4"/>
      <c r="Y276" s="6"/>
      <c r="Z276" s="6"/>
      <c r="AA276" s="7"/>
      <c r="AB276" s="8"/>
      <c r="AC276" s="8"/>
      <c r="AD276" s="8"/>
      <c r="AE276" s="8"/>
      <c r="AF276" s="7"/>
      <c r="AG276" s="7"/>
      <c r="AH276" s="7"/>
      <c r="AI276" s="7"/>
      <c r="AJ276" s="7"/>
      <c r="AK276" s="7"/>
      <c r="AL276" s="7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BA276" s="88">
        <f>IF(AM276="", BA274, (AM276*0.3) + (BA274*0.7))</f>
        <v>78.72274376</v>
      </c>
      <c r="BB276" s="88">
        <f>IF(AP276="", BB274, (AP276*0.3) + (BB274*0.7))</f>
        <v>3004.379929</v>
      </c>
      <c r="BC276" s="88">
        <f>IF(BB276="","", BB276*0.8)</f>
        <v>2403.503943</v>
      </c>
    </row>
    <row r="277" ht="15.75" customHeight="1">
      <c r="A277" s="16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4"/>
      <c r="O277" s="4"/>
      <c r="P277" s="4"/>
      <c r="Q277" s="4"/>
      <c r="R277" s="4"/>
      <c r="S277" s="5"/>
      <c r="T277" s="4"/>
      <c r="U277" s="5"/>
      <c r="V277" s="4"/>
      <c r="W277" s="4"/>
      <c r="X277" s="4"/>
      <c r="Y277" s="6"/>
      <c r="Z277" s="6"/>
      <c r="AA277" s="7"/>
      <c r="AB277" s="8"/>
      <c r="AC277" s="8"/>
      <c r="AD277" s="8"/>
      <c r="AE277" s="8"/>
      <c r="AF277" s="7"/>
      <c r="AG277" s="7"/>
      <c r="AH277" s="7"/>
      <c r="AI277" s="7"/>
      <c r="AJ277" s="7"/>
      <c r="AK277" s="7"/>
      <c r="AL277" s="7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</row>
    <row r="278" ht="15.75" customHeight="1">
      <c r="A278" s="16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4"/>
      <c r="O278" s="4"/>
      <c r="P278" s="4"/>
      <c r="Q278" s="4"/>
      <c r="R278" s="4"/>
      <c r="S278" s="5"/>
      <c r="T278" s="4"/>
      <c r="U278" s="5"/>
      <c r="V278" s="4"/>
      <c r="W278" s="4"/>
      <c r="X278" s="4"/>
      <c r="Y278" s="6"/>
      <c r="Z278" s="6"/>
      <c r="AA278" s="7"/>
      <c r="AB278" s="8"/>
      <c r="AC278" s="8"/>
      <c r="AD278" s="8"/>
      <c r="AE278" s="8"/>
      <c r="AF278" s="7"/>
      <c r="AG278" s="7"/>
      <c r="AH278" s="7"/>
      <c r="AI278" s="7"/>
      <c r="AJ278" s="7"/>
      <c r="AK278" s="7"/>
      <c r="AL278" s="7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BA278" s="88">
        <f>IF(AM278="", BA276, (AM278*0.3) + (BA276*0.7))</f>
        <v>78.72274376</v>
      </c>
      <c r="BB278" s="88">
        <f>IF(AP278="", BB276, (AP278*0.3) + (BB276*0.7))</f>
        <v>3004.379929</v>
      </c>
      <c r="BC278" s="88">
        <f>IF(BB278="","", BB278*0.8)</f>
        <v>2403.503943</v>
      </c>
    </row>
    <row r="279" ht="15.75" customHeight="1">
      <c r="A279" s="16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4"/>
      <c r="O279" s="4"/>
      <c r="P279" s="4"/>
      <c r="Q279" s="4"/>
      <c r="R279" s="4"/>
      <c r="S279" s="5"/>
      <c r="T279" s="4"/>
      <c r="U279" s="5"/>
      <c r="V279" s="4"/>
      <c r="W279" s="4"/>
      <c r="X279" s="4"/>
      <c r="Y279" s="6"/>
      <c r="Z279" s="6"/>
      <c r="AA279" s="7"/>
      <c r="AB279" s="8"/>
      <c r="AC279" s="8"/>
      <c r="AD279" s="8"/>
      <c r="AE279" s="8"/>
      <c r="AF279" s="7"/>
      <c r="AG279" s="7"/>
      <c r="AH279" s="7"/>
      <c r="AI279" s="7"/>
      <c r="AJ279" s="7"/>
      <c r="AK279" s="7"/>
      <c r="AL279" s="7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</row>
    <row r="280" ht="15.75" customHeight="1">
      <c r="A280" s="16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4"/>
      <c r="O280" s="4"/>
      <c r="P280" s="4"/>
      <c r="Q280" s="4"/>
      <c r="R280" s="4"/>
      <c r="S280" s="5"/>
      <c r="T280" s="4"/>
      <c r="U280" s="5"/>
      <c r="V280" s="4"/>
      <c r="W280" s="4"/>
      <c r="X280" s="4"/>
      <c r="Y280" s="6"/>
      <c r="Z280" s="6"/>
      <c r="AA280" s="7"/>
      <c r="AB280" s="8"/>
      <c r="AC280" s="8"/>
      <c r="AD280" s="8"/>
      <c r="AE280" s="8"/>
      <c r="AF280" s="7"/>
      <c r="AG280" s="7"/>
      <c r="AH280" s="7"/>
      <c r="AI280" s="7"/>
      <c r="AJ280" s="7"/>
      <c r="AK280" s="7"/>
      <c r="AL280" s="7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BA280" s="88">
        <f>IF(AM280="", BA278, (AM280*0.3) + (BA278*0.7))</f>
        <v>78.72274376</v>
      </c>
      <c r="BB280" s="88">
        <f>IF(AP280="", BB278, (AP280*0.3) + (BB278*0.7))</f>
        <v>3004.379929</v>
      </c>
      <c r="BC280" s="88">
        <f>IF(BB280="","", BB280*0.8)</f>
        <v>2403.503943</v>
      </c>
    </row>
    <row r="281" ht="15.75" customHeight="1">
      <c r="A281" s="16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4"/>
      <c r="O281" s="4"/>
      <c r="P281" s="4"/>
      <c r="Q281" s="4"/>
      <c r="R281" s="4"/>
      <c r="S281" s="5"/>
      <c r="T281" s="4"/>
      <c r="U281" s="5"/>
      <c r="V281" s="4"/>
      <c r="W281" s="4"/>
      <c r="X281" s="4"/>
      <c r="Y281" s="6"/>
      <c r="Z281" s="6"/>
      <c r="AA281" s="7"/>
      <c r="AB281" s="8"/>
      <c r="AC281" s="8"/>
      <c r="AD281" s="8"/>
      <c r="AE281" s="8"/>
      <c r="AF281" s="7"/>
      <c r="AG281" s="7"/>
      <c r="AH281" s="7"/>
      <c r="AI281" s="7"/>
      <c r="AJ281" s="7"/>
      <c r="AK281" s="7"/>
      <c r="AL281" s="7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</row>
    <row r="282" ht="15.75" customHeight="1">
      <c r="A282" s="16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4"/>
      <c r="O282" s="4"/>
      <c r="P282" s="4"/>
      <c r="Q282" s="4"/>
      <c r="R282" s="4"/>
      <c r="S282" s="5"/>
      <c r="T282" s="4"/>
      <c r="U282" s="5"/>
      <c r="V282" s="4"/>
      <c r="W282" s="4"/>
      <c r="X282" s="4"/>
      <c r="Y282" s="6"/>
      <c r="Z282" s="6"/>
      <c r="AA282" s="7"/>
      <c r="AB282" s="8"/>
      <c r="AC282" s="8"/>
      <c r="AD282" s="8"/>
      <c r="AE282" s="8"/>
      <c r="AF282" s="7"/>
      <c r="AG282" s="7"/>
      <c r="AH282" s="7"/>
      <c r="AI282" s="7"/>
      <c r="AJ282" s="7"/>
      <c r="AK282" s="7"/>
      <c r="AL282" s="7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BA282" s="88">
        <f>IF(AM282="", BA280, (AM282*0.3) + (BA280*0.7))</f>
        <v>78.72274376</v>
      </c>
      <c r="BB282" s="88">
        <f>IF(AP282="", BB280, (AP282*0.3) + (BB280*0.7))</f>
        <v>3004.379929</v>
      </c>
      <c r="BC282" s="88">
        <f>IF(BB282="","", BB282*0.8)</f>
        <v>2403.503943</v>
      </c>
    </row>
    <row r="283" ht="15.75" customHeight="1">
      <c r="A283" s="16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4"/>
      <c r="O283" s="4"/>
      <c r="P283" s="4"/>
      <c r="Q283" s="4"/>
      <c r="R283" s="4"/>
      <c r="S283" s="5"/>
      <c r="T283" s="4"/>
      <c r="U283" s="5"/>
      <c r="V283" s="4"/>
      <c r="W283" s="4"/>
      <c r="X283" s="4"/>
      <c r="Y283" s="6"/>
      <c r="Z283" s="6"/>
      <c r="AA283" s="7"/>
      <c r="AB283" s="8"/>
      <c r="AC283" s="8"/>
      <c r="AD283" s="8"/>
      <c r="AE283" s="8"/>
      <c r="AF283" s="7"/>
      <c r="AG283" s="7"/>
      <c r="AH283" s="7"/>
      <c r="AI283" s="7"/>
      <c r="AJ283" s="7"/>
      <c r="AK283" s="7"/>
      <c r="AL283" s="7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</row>
    <row r="284" ht="15.75" customHeight="1">
      <c r="A284" s="16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4"/>
      <c r="O284" s="4"/>
      <c r="P284" s="4"/>
      <c r="Q284" s="4"/>
      <c r="R284" s="4"/>
      <c r="S284" s="5"/>
      <c r="T284" s="4"/>
      <c r="U284" s="5"/>
      <c r="V284" s="4"/>
      <c r="W284" s="4"/>
      <c r="X284" s="4"/>
      <c r="Y284" s="6"/>
      <c r="Z284" s="6"/>
      <c r="AA284" s="7"/>
      <c r="AB284" s="8"/>
      <c r="AC284" s="8"/>
      <c r="AD284" s="8"/>
      <c r="AE284" s="8"/>
      <c r="AF284" s="7"/>
      <c r="AG284" s="7"/>
      <c r="AH284" s="7"/>
      <c r="AI284" s="7"/>
      <c r="AJ284" s="7"/>
      <c r="AK284" s="7"/>
      <c r="AL284" s="7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BA284" s="88">
        <f>IF(AM284="", BA282, (AM284*0.3) + (BA282*0.7))</f>
        <v>78.72274376</v>
      </c>
      <c r="BB284" s="88">
        <f>IF(AP284="", BB282, (AP284*0.3) + (BB282*0.7))</f>
        <v>3004.379929</v>
      </c>
      <c r="BC284" s="88">
        <f>IF(BB284="","", BB284*0.8)</f>
        <v>2403.503943</v>
      </c>
    </row>
    <row r="285" ht="15.75" customHeight="1">
      <c r="A285" s="16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4"/>
      <c r="O285" s="4"/>
      <c r="P285" s="4"/>
      <c r="Q285" s="4"/>
      <c r="R285" s="4"/>
      <c r="S285" s="5"/>
      <c r="T285" s="4"/>
      <c r="U285" s="5"/>
      <c r="V285" s="4"/>
      <c r="W285" s="4"/>
      <c r="X285" s="4"/>
      <c r="Y285" s="6"/>
      <c r="Z285" s="6"/>
      <c r="AA285" s="7"/>
      <c r="AB285" s="8"/>
      <c r="AC285" s="8"/>
      <c r="AD285" s="8"/>
      <c r="AE285" s="8"/>
      <c r="AF285" s="7"/>
      <c r="AG285" s="7"/>
      <c r="AH285" s="7"/>
      <c r="AI285" s="7"/>
      <c r="AJ285" s="7"/>
      <c r="AK285" s="7"/>
      <c r="AL285" s="7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</row>
    <row r="286" ht="15.75" customHeight="1">
      <c r="A286" s="16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4"/>
      <c r="O286" s="4"/>
      <c r="P286" s="4"/>
      <c r="Q286" s="4"/>
      <c r="R286" s="4"/>
      <c r="S286" s="5"/>
      <c r="T286" s="4"/>
      <c r="U286" s="5"/>
      <c r="V286" s="4"/>
      <c r="W286" s="4"/>
      <c r="X286" s="4"/>
      <c r="Y286" s="6"/>
      <c r="Z286" s="6"/>
      <c r="AA286" s="7"/>
      <c r="AB286" s="8"/>
      <c r="AC286" s="8"/>
      <c r="AD286" s="8"/>
      <c r="AE286" s="8"/>
      <c r="AF286" s="7"/>
      <c r="AG286" s="7"/>
      <c r="AH286" s="7"/>
      <c r="AI286" s="7"/>
      <c r="AJ286" s="7"/>
      <c r="AK286" s="7"/>
      <c r="AL286" s="7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BA286" s="88">
        <f>IF(AM286="", BA284, (AM286*0.3) + (BA284*0.7))</f>
        <v>78.72274376</v>
      </c>
      <c r="BB286" s="88">
        <f>IF(AP286="", BB284, (AP286*0.3) + (BB284*0.7))</f>
        <v>3004.379929</v>
      </c>
      <c r="BC286" s="88">
        <f>IF(BB286="","", BB286*0.8)</f>
        <v>2403.503943</v>
      </c>
    </row>
    <row r="287" ht="15.75" customHeight="1">
      <c r="A287" s="16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4"/>
      <c r="O287" s="4"/>
      <c r="P287" s="4"/>
      <c r="Q287" s="4"/>
      <c r="R287" s="4"/>
      <c r="S287" s="5"/>
      <c r="T287" s="4"/>
      <c r="U287" s="5"/>
      <c r="V287" s="4"/>
      <c r="W287" s="4"/>
      <c r="X287" s="4"/>
      <c r="Y287" s="6"/>
      <c r="Z287" s="6"/>
      <c r="AA287" s="7"/>
      <c r="AB287" s="8"/>
      <c r="AC287" s="8"/>
      <c r="AD287" s="8"/>
      <c r="AE287" s="8"/>
      <c r="AF287" s="7"/>
      <c r="AG287" s="7"/>
      <c r="AH287" s="7"/>
      <c r="AI287" s="7"/>
      <c r="AJ287" s="7"/>
      <c r="AK287" s="7"/>
      <c r="AL287" s="7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</row>
    <row r="288" ht="15.75" customHeight="1">
      <c r="A288" s="16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4"/>
      <c r="O288" s="4"/>
      <c r="P288" s="4"/>
      <c r="Q288" s="4"/>
      <c r="R288" s="4"/>
      <c r="S288" s="5"/>
      <c r="T288" s="4"/>
      <c r="U288" s="5"/>
      <c r="V288" s="4"/>
      <c r="W288" s="4"/>
      <c r="X288" s="4"/>
      <c r="Y288" s="6"/>
      <c r="Z288" s="6"/>
      <c r="AA288" s="7"/>
      <c r="AB288" s="8"/>
      <c r="AC288" s="8"/>
      <c r="AD288" s="8"/>
      <c r="AE288" s="8"/>
      <c r="AF288" s="7"/>
      <c r="AG288" s="7"/>
      <c r="AH288" s="7"/>
      <c r="AI288" s="7"/>
      <c r="AJ288" s="7"/>
      <c r="AK288" s="7"/>
      <c r="AL288" s="7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BA288" s="88">
        <f>IF(AM288="", BA286, (AM288*0.3) + (BA286*0.7))</f>
        <v>78.72274376</v>
      </c>
      <c r="BB288" s="88">
        <f>IF(AP288="", BB286, (AP288*0.3) + (BB286*0.7))</f>
        <v>3004.379929</v>
      </c>
      <c r="BC288" s="88">
        <f>IF(BB288="","", BB288*0.8)</f>
        <v>2403.503943</v>
      </c>
    </row>
    <row r="289" ht="15.75" customHeight="1">
      <c r="A289" s="16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4"/>
      <c r="O289" s="4"/>
      <c r="P289" s="4"/>
      <c r="Q289" s="4"/>
      <c r="R289" s="4"/>
      <c r="S289" s="5"/>
      <c r="T289" s="4"/>
      <c r="U289" s="5"/>
      <c r="V289" s="4"/>
      <c r="W289" s="4"/>
      <c r="X289" s="4"/>
      <c r="Y289" s="6"/>
      <c r="Z289" s="6"/>
      <c r="AA289" s="7"/>
      <c r="AB289" s="8"/>
      <c r="AC289" s="8"/>
      <c r="AD289" s="8"/>
      <c r="AE289" s="8"/>
      <c r="AF289" s="7"/>
      <c r="AG289" s="7"/>
      <c r="AH289" s="7"/>
      <c r="AI289" s="7"/>
      <c r="AJ289" s="7"/>
      <c r="AK289" s="7"/>
      <c r="AL289" s="7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</row>
    <row r="290" ht="15.75" customHeight="1">
      <c r="A290" s="16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4"/>
      <c r="O290" s="4"/>
      <c r="P290" s="4"/>
      <c r="Q290" s="4"/>
      <c r="R290" s="4"/>
      <c r="S290" s="5"/>
      <c r="T290" s="4"/>
      <c r="U290" s="5"/>
      <c r="V290" s="4"/>
      <c r="W290" s="4"/>
      <c r="X290" s="4"/>
      <c r="Y290" s="6"/>
      <c r="Z290" s="6"/>
      <c r="AA290" s="7"/>
      <c r="AB290" s="8"/>
      <c r="AC290" s="8"/>
      <c r="AD290" s="8"/>
      <c r="AE290" s="8"/>
      <c r="AF290" s="7"/>
      <c r="AG290" s="7"/>
      <c r="AH290" s="7"/>
      <c r="AI290" s="7"/>
      <c r="AJ290" s="7"/>
      <c r="AK290" s="7"/>
      <c r="AL290" s="7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BA290" s="88">
        <f>IF(AM290="", BA288, (AM290*0.3) + (BA288*0.7))</f>
        <v>78.72274376</v>
      </c>
      <c r="BB290" s="88">
        <f>IF(AP290="", BB288, (AP290*0.3) + (BB288*0.7))</f>
        <v>3004.379929</v>
      </c>
      <c r="BC290" s="88">
        <f>IF(BB290="","", BB290*0.8)</f>
        <v>2403.503943</v>
      </c>
    </row>
    <row r="291" ht="15.75" customHeight="1">
      <c r="A291" s="16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4"/>
      <c r="O291" s="4"/>
      <c r="P291" s="4"/>
      <c r="Q291" s="4"/>
      <c r="R291" s="4"/>
      <c r="S291" s="5"/>
      <c r="T291" s="4"/>
      <c r="U291" s="5"/>
      <c r="V291" s="4"/>
      <c r="W291" s="4"/>
      <c r="X291" s="4"/>
      <c r="Y291" s="6"/>
      <c r="Z291" s="6"/>
      <c r="AA291" s="7"/>
      <c r="AB291" s="8"/>
      <c r="AC291" s="8"/>
      <c r="AD291" s="8"/>
      <c r="AE291" s="8"/>
      <c r="AF291" s="7"/>
      <c r="AG291" s="7"/>
      <c r="AH291" s="7"/>
      <c r="AI291" s="7"/>
      <c r="AJ291" s="7"/>
      <c r="AK291" s="7"/>
      <c r="AL291" s="7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</row>
    <row r="292" ht="15.75" customHeight="1">
      <c r="A292" s="16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4"/>
      <c r="O292" s="4"/>
      <c r="P292" s="4"/>
      <c r="Q292" s="4"/>
      <c r="R292" s="4"/>
      <c r="S292" s="5"/>
      <c r="T292" s="4"/>
      <c r="U292" s="5"/>
      <c r="V292" s="4"/>
      <c r="W292" s="4"/>
      <c r="X292" s="4"/>
      <c r="Y292" s="6"/>
      <c r="Z292" s="6"/>
      <c r="AA292" s="7"/>
      <c r="AB292" s="8"/>
      <c r="AC292" s="8"/>
      <c r="AD292" s="8"/>
      <c r="AE292" s="8"/>
      <c r="AF292" s="7"/>
      <c r="AG292" s="7"/>
      <c r="AH292" s="7"/>
      <c r="AI292" s="7"/>
      <c r="AJ292" s="7"/>
      <c r="AK292" s="7"/>
      <c r="AL292" s="7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BA292" s="88">
        <f>IF(AM292="", BA290, (AM292*0.3) + (BA290*0.7))</f>
        <v>78.72274376</v>
      </c>
      <c r="BB292" s="88">
        <f>IF(AP292="", BB290, (AP292*0.3) + (BB290*0.7))</f>
        <v>3004.379929</v>
      </c>
      <c r="BC292" s="88">
        <f>IF(BB292="","", BB292*0.8)</f>
        <v>2403.503943</v>
      </c>
    </row>
    <row r="293" ht="15.75" customHeight="1">
      <c r="A293" s="16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4"/>
      <c r="O293" s="4"/>
      <c r="P293" s="4"/>
      <c r="Q293" s="4"/>
      <c r="R293" s="4"/>
      <c r="S293" s="5"/>
      <c r="T293" s="4"/>
      <c r="U293" s="5"/>
      <c r="V293" s="4"/>
      <c r="W293" s="4"/>
      <c r="X293" s="4"/>
      <c r="Y293" s="6"/>
      <c r="Z293" s="6"/>
      <c r="AA293" s="7"/>
      <c r="AB293" s="8"/>
      <c r="AC293" s="8"/>
      <c r="AD293" s="8"/>
      <c r="AE293" s="8"/>
      <c r="AF293" s="7"/>
      <c r="AG293" s="7"/>
      <c r="AH293" s="7"/>
      <c r="AI293" s="7"/>
      <c r="AJ293" s="7"/>
      <c r="AK293" s="7"/>
      <c r="AL293" s="7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</row>
    <row r="294" ht="15.75" customHeight="1">
      <c r="A294" s="16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4"/>
      <c r="O294" s="4"/>
      <c r="P294" s="4"/>
      <c r="Q294" s="4"/>
      <c r="R294" s="4"/>
      <c r="S294" s="5"/>
      <c r="T294" s="4"/>
      <c r="U294" s="5"/>
      <c r="V294" s="4"/>
      <c r="W294" s="4"/>
      <c r="X294" s="4"/>
      <c r="Y294" s="6"/>
      <c r="Z294" s="6"/>
      <c r="AA294" s="7"/>
      <c r="AB294" s="8"/>
      <c r="AC294" s="8"/>
      <c r="AD294" s="8"/>
      <c r="AE294" s="8"/>
      <c r="AF294" s="7"/>
      <c r="AG294" s="7"/>
      <c r="AH294" s="7"/>
      <c r="AI294" s="7"/>
      <c r="AJ294" s="7"/>
      <c r="AK294" s="7"/>
      <c r="AL294" s="7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BA294" s="88">
        <f>IF(AM294="", BA292, (AM294*0.3) + (BA292*0.7))</f>
        <v>78.72274376</v>
      </c>
      <c r="BB294" s="88">
        <f>IF(AP294="", BB292, (AP294*0.3) + (BB292*0.7))</f>
        <v>3004.379929</v>
      </c>
      <c r="BC294" s="88">
        <f>IF(BB294="","", BB294*0.8)</f>
        <v>2403.503943</v>
      </c>
    </row>
    <row r="295" ht="15.75" customHeight="1">
      <c r="A295" s="16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4"/>
      <c r="O295" s="4"/>
      <c r="P295" s="4"/>
      <c r="Q295" s="4"/>
      <c r="R295" s="4"/>
      <c r="S295" s="5"/>
      <c r="T295" s="4"/>
      <c r="U295" s="5"/>
      <c r="V295" s="4"/>
      <c r="W295" s="4"/>
      <c r="X295" s="4"/>
      <c r="Y295" s="6"/>
      <c r="Z295" s="6"/>
      <c r="AA295" s="7"/>
      <c r="AB295" s="8"/>
      <c r="AC295" s="8"/>
      <c r="AD295" s="8"/>
      <c r="AE295" s="8"/>
      <c r="AF295" s="7"/>
      <c r="AG295" s="7"/>
      <c r="AH295" s="7"/>
      <c r="AI295" s="7"/>
      <c r="AJ295" s="7"/>
      <c r="AK295" s="7"/>
      <c r="AL295" s="7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</row>
    <row r="296" ht="15.75" customHeight="1">
      <c r="A296" s="16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4"/>
      <c r="O296" s="4"/>
      <c r="P296" s="4"/>
      <c r="Q296" s="4"/>
      <c r="R296" s="4"/>
      <c r="S296" s="5"/>
      <c r="T296" s="4"/>
      <c r="U296" s="5"/>
      <c r="V296" s="4"/>
      <c r="W296" s="4"/>
      <c r="X296" s="4"/>
      <c r="Y296" s="6"/>
      <c r="Z296" s="6"/>
      <c r="AA296" s="7"/>
      <c r="AB296" s="8"/>
      <c r="AC296" s="8"/>
      <c r="AD296" s="8"/>
      <c r="AE296" s="8"/>
      <c r="AF296" s="7"/>
      <c r="AG296" s="7"/>
      <c r="AH296" s="7"/>
      <c r="AI296" s="7"/>
      <c r="AJ296" s="7"/>
      <c r="AK296" s="7"/>
      <c r="AL296" s="7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BA296" s="88">
        <f>IF(AM296="", BA294, (AM296*0.3) + (BA294*0.7))</f>
        <v>78.72274376</v>
      </c>
      <c r="BB296" s="88">
        <f>IF(AP296="", BB294, (AP296*0.3) + (BB294*0.7))</f>
        <v>3004.379929</v>
      </c>
      <c r="BC296" s="88">
        <f>IF(BB296="","", BB296*0.8)</f>
        <v>2403.503943</v>
      </c>
    </row>
    <row r="297" ht="15.75" customHeight="1">
      <c r="A297" s="16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4"/>
      <c r="O297" s="4"/>
      <c r="P297" s="4"/>
      <c r="Q297" s="4"/>
      <c r="R297" s="4"/>
      <c r="S297" s="5"/>
      <c r="T297" s="4"/>
      <c r="U297" s="5"/>
      <c r="V297" s="4"/>
      <c r="W297" s="4"/>
      <c r="X297" s="4"/>
      <c r="Y297" s="6"/>
      <c r="Z297" s="6"/>
      <c r="AA297" s="7"/>
      <c r="AB297" s="8"/>
      <c r="AC297" s="8"/>
      <c r="AD297" s="8"/>
      <c r="AE297" s="8"/>
      <c r="AF297" s="7"/>
      <c r="AG297" s="7"/>
      <c r="AH297" s="7"/>
      <c r="AI297" s="7"/>
      <c r="AJ297" s="7"/>
      <c r="AK297" s="7"/>
      <c r="AL297" s="7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</row>
    <row r="298" ht="15.75" customHeight="1">
      <c r="A298" s="16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4"/>
      <c r="O298" s="4"/>
      <c r="P298" s="4"/>
      <c r="Q298" s="4"/>
      <c r="R298" s="4"/>
      <c r="S298" s="5"/>
      <c r="T298" s="4"/>
      <c r="U298" s="5"/>
      <c r="V298" s="4"/>
      <c r="W298" s="4"/>
      <c r="X298" s="4"/>
      <c r="Y298" s="6"/>
      <c r="Z298" s="6"/>
      <c r="AA298" s="7"/>
      <c r="AB298" s="8"/>
      <c r="AC298" s="8"/>
      <c r="AD298" s="8"/>
      <c r="AE298" s="8"/>
      <c r="AF298" s="7"/>
      <c r="AG298" s="7"/>
      <c r="AH298" s="7"/>
      <c r="AI298" s="7"/>
      <c r="AJ298" s="7"/>
      <c r="AK298" s="7"/>
      <c r="AL298" s="7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BA298" s="88">
        <f>IF(AM298="", BA296, (AM298*0.3) + (BA296*0.7))</f>
        <v>78.72274376</v>
      </c>
      <c r="BB298" s="88">
        <f>IF(AP298="", BB296, (AP298*0.3) + (BB296*0.7))</f>
        <v>3004.379929</v>
      </c>
      <c r="BC298" s="88">
        <f>IF(BB298="","", BB298*0.8)</f>
        <v>2403.503943</v>
      </c>
    </row>
    <row r="299" ht="15.75" customHeight="1">
      <c r="A299" s="16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4"/>
      <c r="O299" s="4"/>
      <c r="P299" s="4"/>
      <c r="Q299" s="4"/>
      <c r="R299" s="4"/>
      <c r="S299" s="5"/>
      <c r="T299" s="4"/>
      <c r="U299" s="5"/>
      <c r="V299" s="4"/>
      <c r="W299" s="4"/>
      <c r="X299" s="4"/>
      <c r="Y299" s="6"/>
      <c r="Z299" s="6"/>
      <c r="AA299" s="7"/>
      <c r="AB299" s="8"/>
      <c r="AC299" s="8"/>
      <c r="AD299" s="8"/>
      <c r="AE299" s="8"/>
      <c r="AF299" s="7"/>
      <c r="AG299" s="7"/>
      <c r="AH299" s="7"/>
      <c r="AI299" s="7"/>
      <c r="AJ299" s="7"/>
      <c r="AK299" s="7"/>
      <c r="AL299" s="7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</row>
    <row r="300" ht="15.75" customHeight="1">
      <c r="A300" s="16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4"/>
      <c r="O300" s="4"/>
      <c r="P300" s="4"/>
      <c r="Q300" s="4"/>
      <c r="R300" s="4"/>
      <c r="S300" s="5"/>
      <c r="T300" s="4"/>
      <c r="U300" s="5"/>
      <c r="V300" s="4"/>
      <c r="W300" s="4"/>
      <c r="X300" s="4"/>
      <c r="Y300" s="6"/>
      <c r="Z300" s="6"/>
      <c r="AA300" s="7"/>
      <c r="AB300" s="8"/>
      <c r="AC300" s="8"/>
      <c r="AD300" s="8"/>
      <c r="AE300" s="8"/>
      <c r="AF300" s="7"/>
      <c r="AG300" s="7"/>
      <c r="AH300" s="7"/>
      <c r="AI300" s="7"/>
      <c r="AJ300" s="7"/>
      <c r="AK300" s="7"/>
      <c r="AL300" s="7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</row>
    <row r="301" ht="15.75" customHeight="1">
      <c r="A301" s="16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4"/>
      <c r="O301" s="4"/>
      <c r="P301" s="4"/>
      <c r="Q301" s="4"/>
      <c r="R301" s="4"/>
      <c r="S301" s="5"/>
      <c r="T301" s="4"/>
      <c r="U301" s="5"/>
      <c r="V301" s="4"/>
      <c r="W301" s="4"/>
      <c r="X301" s="4"/>
      <c r="Y301" s="6"/>
      <c r="Z301" s="6"/>
      <c r="AA301" s="7"/>
      <c r="AB301" s="8"/>
      <c r="AC301" s="8"/>
      <c r="AD301" s="8"/>
      <c r="AE301" s="8"/>
      <c r="AF301" s="7"/>
      <c r="AG301" s="7"/>
      <c r="AH301" s="7"/>
      <c r="AI301" s="7"/>
      <c r="AJ301" s="7"/>
      <c r="AK301" s="7"/>
      <c r="AL301" s="7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</row>
    <row r="302" ht="15.75" customHeight="1">
      <c r="A302" s="16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4"/>
      <c r="O302" s="4"/>
      <c r="P302" s="4"/>
      <c r="Q302" s="4"/>
      <c r="R302" s="4"/>
      <c r="S302" s="5"/>
      <c r="T302" s="4"/>
      <c r="U302" s="5"/>
      <c r="V302" s="4"/>
      <c r="W302" s="4"/>
      <c r="X302" s="4"/>
      <c r="Y302" s="6"/>
      <c r="Z302" s="6"/>
      <c r="AA302" s="7"/>
      <c r="AB302" s="8"/>
      <c r="AC302" s="8"/>
      <c r="AD302" s="8"/>
      <c r="AE302" s="8"/>
      <c r="AF302" s="7"/>
      <c r="AG302" s="7"/>
      <c r="AH302" s="7"/>
      <c r="AI302" s="7"/>
      <c r="AJ302" s="7"/>
      <c r="AK302" s="7"/>
      <c r="AL302" s="7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</row>
    <row r="303" ht="15.75" customHeight="1">
      <c r="A303" s="16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4"/>
      <c r="O303" s="4"/>
      <c r="P303" s="4"/>
      <c r="Q303" s="4"/>
      <c r="R303" s="4"/>
      <c r="S303" s="5"/>
      <c r="T303" s="4"/>
      <c r="U303" s="5"/>
      <c r="V303" s="4"/>
      <c r="W303" s="4"/>
      <c r="X303" s="4"/>
      <c r="Y303" s="6"/>
      <c r="Z303" s="6"/>
      <c r="AA303" s="7"/>
      <c r="AB303" s="8"/>
      <c r="AC303" s="8"/>
      <c r="AD303" s="8"/>
      <c r="AE303" s="8"/>
      <c r="AF303" s="7"/>
      <c r="AG303" s="7"/>
      <c r="AH303" s="7"/>
      <c r="AI303" s="7"/>
      <c r="AJ303" s="7"/>
      <c r="AK303" s="7"/>
      <c r="AL303" s="7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</row>
    <row r="304" ht="15.75" customHeight="1">
      <c r="A304" s="16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4"/>
      <c r="O304" s="4"/>
      <c r="P304" s="4"/>
      <c r="Q304" s="4"/>
      <c r="R304" s="4"/>
      <c r="S304" s="5"/>
      <c r="T304" s="4"/>
      <c r="U304" s="5"/>
      <c r="V304" s="4"/>
      <c r="W304" s="4"/>
      <c r="X304" s="4"/>
      <c r="Y304" s="6"/>
      <c r="Z304" s="6"/>
      <c r="AA304" s="7"/>
      <c r="AB304" s="8"/>
      <c r="AC304" s="8"/>
      <c r="AD304" s="8"/>
      <c r="AE304" s="8"/>
      <c r="AF304" s="7"/>
      <c r="AG304" s="7"/>
      <c r="AH304" s="7"/>
      <c r="AI304" s="7"/>
      <c r="AJ304" s="7"/>
      <c r="AK304" s="7"/>
      <c r="AL304" s="7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</row>
    <row r="305" ht="15.75" customHeight="1">
      <c r="A305" s="16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4"/>
      <c r="O305" s="4"/>
      <c r="P305" s="4"/>
      <c r="Q305" s="4"/>
      <c r="R305" s="4"/>
      <c r="S305" s="5"/>
      <c r="T305" s="4"/>
      <c r="U305" s="5"/>
      <c r="V305" s="4"/>
      <c r="W305" s="4"/>
      <c r="X305" s="4"/>
      <c r="Y305" s="6"/>
      <c r="Z305" s="6"/>
      <c r="AA305" s="7"/>
      <c r="AB305" s="8"/>
      <c r="AC305" s="8"/>
      <c r="AD305" s="8"/>
      <c r="AE305" s="8"/>
      <c r="AF305" s="7"/>
      <c r="AG305" s="7"/>
      <c r="AH305" s="7"/>
      <c r="AI305" s="7"/>
      <c r="AJ305" s="7"/>
      <c r="AK305" s="7"/>
      <c r="AL305" s="7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</row>
    <row r="306" ht="15.75" customHeight="1">
      <c r="A306" s="16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4"/>
      <c r="O306" s="4"/>
      <c r="P306" s="4"/>
      <c r="Q306" s="4"/>
      <c r="R306" s="4"/>
      <c r="S306" s="5"/>
      <c r="T306" s="4"/>
      <c r="U306" s="5"/>
      <c r="V306" s="4"/>
      <c r="W306" s="4"/>
      <c r="X306" s="4"/>
      <c r="Y306" s="6"/>
      <c r="Z306" s="6"/>
      <c r="AA306" s="7"/>
      <c r="AB306" s="8"/>
      <c r="AC306" s="8"/>
      <c r="AD306" s="8"/>
      <c r="AE306" s="8"/>
      <c r="AF306" s="7"/>
      <c r="AG306" s="7"/>
      <c r="AH306" s="7"/>
      <c r="AI306" s="7"/>
      <c r="AJ306" s="7"/>
      <c r="AK306" s="7"/>
      <c r="AL306" s="7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</row>
    <row r="307" ht="15.75" customHeight="1">
      <c r="A307" s="16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4"/>
      <c r="O307" s="4"/>
      <c r="P307" s="4"/>
      <c r="Q307" s="4"/>
      <c r="R307" s="4"/>
      <c r="S307" s="5"/>
      <c r="T307" s="4"/>
      <c r="U307" s="5"/>
      <c r="V307" s="4"/>
      <c r="W307" s="4"/>
      <c r="X307" s="4"/>
      <c r="Y307" s="6"/>
      <c r="Z307" s="6"/>
      <c r="AA307" s="7"/>
      <c r="AB307" s="8"/>
      <c r="AC307" s="8"/>
      <c r="AD307" s="8"/>
      <c r="AE307" s="8"/>
      <c r="AF307" s="7"/>
      <c r="AG307" s="7"/>
      <c r="AH307" s="7"/>
      <c r="AI307" s="7"/>
      <c r="AJ307" s="7"/>
      <c r="AK307" s="7"/>
      <c r="AL307" s="7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</row>
    <row r="308" ht="15.75" customHeight="1">
      <c r="A308" s="16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4"/>
      <c r="O308" s="4"/>
      <c r="P308" s="4"/>
      <c r="Q308" s="4"/>
      <c r="R308" s="4"/>
      <c r="S308" s="5"/>
      <c r="T308" s="4"/>
      <c r="U308" s="5"/>
      <c r="V308" s="4"/>
      <c r="W308" s="4"/>
      <c r="X308" s="4"/>
      <c r="Y308" s="6"/>
      <c r="Z308" s="6"/>
      <c r="AA308" s="7"/>
      <c r="AB308" s="8"/>
      <c r="AC308" s="8"/>
      <c r="AD308" s="8"/>
      <c r="AE308" s="8"/>
      <c r="AF308" s="7"/>
      <c r="AG308" s="7"/>
      <c r="AH308" s="7"/>
      <c r="AI308" s="7"/>
      <c r="AJ308" s="7"/>
      <c r="AK308" s="7"/>
      <c r="AL308" s="7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</row>
    <row r="309" ht="15.75" customHeight="1">
      <c r="A309" s="16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4"/>
      <c r="O309" s="4"/>
      <c r="P309" s="4"/>
      <c r="Q309" s="4"/>
      <c r="R309" s="4"/>
      <c r="S309" s="5"/>
      <c r="T309" s="4"/>
      <c r="U309" s="5"/>
      <c r="V309" s="4"/>
      <c r="W309" s="4"/>
      <c r="X309" s="4"/>
      <c r="Y309" s="6"/>
      <c r="Z309" s="6"/>
      <c r="AA309" s="7"/>
      <c r="AB309" s="8"/>
      <c r="AC309" s="8"/>
      <c r="AD309" s="8"/>
      <c r="AE309" s="8"/>
      <c r="AF309" s="7"/>
      <c r="AG309" s="7"/>
      <c r="AH309" s="7"/>
      <c r="AI309" s="7"/>
      <c r="AJ309" s="7"/>
      <c r="AK309" s="7"/>
      <c r="AL309" s="7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</row>
    <row r="310" ht="15.75" customHeight="1">
      <c r="A310" s="16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4"/>
      <c r="O310" s="4"/>
      <c r="P310" s="4"/>
      <c r="Q310" s="4"/>
      <c r="R310" s="4"/>
      <c r="S310" s="5"/>
      <c r="T310" s="4"/>
      <c r="U310" s="5"/>
      <c r="V310" s="4"/>
      <c r="W310" s="4"/>
      <c r="X310" s="4"/>
      <c r="Y310" s="6"/>
      <c r="Z310" s="6"/>
      <c r="AA310" s="7"/>
      <c r="AB310" s="8"/>
      <c r="AC310" s="8"/>
      <c r="AD310" s="8"/>
      <c r="AE310" s="8"/>
      <c r="AF310" s="7"/>
      <c r="AG310" s="7"/>
      <c r="AH310" s="7"/>
      <c r="AI310" s="7"/>
      <c r="AJ310" s="7"/>
      <c r="AK310" s="7"/>
      <c r="AL310" s="7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</row>
    <row r="311" ht="15.75" customHeight="1">
      <c r="A311" s="16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4"/>
      <c r="O311" s="4"/>
      <c r="P311" s="4"/>
      <c r="Q311" s="4"/>
      <c r="R311" s="4"/>
      <c r="S311" s="5"/>
      <c r="T311" s="4"/>
      <c r="U311" s="5"/>
      <c r="V311" s="4"/>
      <c r="W311" s="4"/>
      <c r="X311" s="4"/>
      <c r="Y311" s="6"/>
      <c r="Z311" s="6"/>
      <c r="AA311" s="7"/>
      <c r="AB311" s="8"/>
      <c r="AC311" s="8"/>
      <c r="AD311" s="8"/>
      <c r="AE311" s="8"/>
      <c r="AF311" s="7"/>
      <c r="AG311" s="7"/>
      <c r="AH311" s="7"/>
      <c r="AI311" s="7"/>
      <c r="AJ311" s="7"/>
      <c r="AK311" s="7"/>
      <c r="AL311" s="7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</row>
    <row r="312" ht="15.75" customHeight="1">
      <c r="A312" s="16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4"/>
      <c r="O312" s="4"/>
      <c r="P312" s="4"/>
      <c r="Q312" s="4"/>
      <c r="R312" s="4"/>
      <c r="S312" s="5"/>
      <c r="T312" s="4"/>
      <c r="U312" s="5"/>
      <c r="V312" s="4"/>
      <c r="W312" s="4"/>
      <c r="X312" s="4"/>
      <c r="Y312" s="6"/>
      <c r="Z312" s="6"/>
      <c r="AA312" s="7"/>
      <c r="AB312" s="8"/>
      <c r="AC312" s="8"/>
      <c r="AD312" s="8"/>
      <c r="AE312" s="8"/>
      <c r="AF312" s="7"/>
      <c r="AG312" s="7"/>
      <c r="AH312" s="7"/>
      <c r="AI312" s="7"/>
      <c r="AJ312" s="7"/>
      <c r="AK312" s="7"/>
      <c r="AL312" s="7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</row>
    <row r="313" ht="15.75" customHeight="1">
      <c r="A313" s="16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4"/>
      <c r="O313" s="4"/>
      <c r="P313" s="4"/>
      <c r="Q313" s="4"/>
      <c r="R313" s="4"/>
      <c r="S313" s="5"/>
      <c r="T313" s="4"/>
      <c r="U313" s="5"/>
      <c r="V313" s="4"/>
      <c r="W313" s="4"/>
      <c r="X313" s="4"/>
      <c r="Y313" s="6"/>
      <c r="Z313" s="6"/>
      <c r="AA313" s="7"/>
      <c r="AB313" s="8"/>
      <c r="AC313" s="8"/>
      <c r="AD313" s="8"/>
      <c r="AE313" s="8"/>
      <c r="AF313" s="7"/>
      <c r="AG313" s="7"/>
      <c r="AH313" s="7"/>
      <c r="AI313" s="7"/>
      <c r="AJ313" s="7"/>
      <c r="AK313" s="7"/>
      <c r="AL313" s="7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</row>
    <row r="314" ht="15.75" customHeight="1">
      <c r="A314" s="16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4"/>
      <c r="O314" s="4"/>
      <c r="P314" s="4"/>
      <c r="Q314" s="4"/>
      <c r="R314" s="4"/>
      <c r="S314" s="5"/>
      <c r="T314" s="4"/>
      <c r="U314" s="5"/>
      <c r="V314" s="4"/>
      <c r="W314" s="4"/>
      <c r="X314" s="4"/>
      <c r="Y314" s="6"/>
      <c r="Z314" s="6"/>
      <c r="AA314" s="7"/>
      <c r="AB314" s="8"/>
      <c r="AC314" s="8"/>
      <c r="AD314" s="8"/>
      <c r="AE314" s="8"/>
      <c r="AF314" s="7"/>
      <c r="AG314" s="7"/>
      <c r="AH314" s="7"/>
      <c r="AI314" s="7"/>
      <c r="AJ314" s="7"/>
      <c r="AK314" s="7"/>
      <c r="AL314" s="7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</row>
    <row r="315" ht="15.75" customHeight="1">
      <c r="A315" s="16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4"/>
      <c r="O315" s="4"/>
      <c r="P315" s="4"/>
      <c r="Q315" s="4"/>
      <c r="R315" s="4"/>
      <c r="S315" s="5"/>
      <c r="T315" s="4"/>
      <c r="U315" s="5"/>
      <c r="V315" s="4"/>
      <c r="W315" s="4"/>
      <c r="X315" s="4"/>
      <c r="Y315" s="6"/>
      <c r="Z315" s="6"/>
      <c r="AA315" s="7"/>
      <c r="AB315" s="8"/>
      <c r="AC315" s="8"/>
      <c r="AD315" s="8"/>
      <c r="AE315" s="8"/>
      <c r="AF315" s="7"/>
      <c r="AG315" s="7"/>
      <c r="AH315" s="7"/>
      <c r="AI315" s="7"/>
      <c r="AJ315" s="7"/>
      <c r="AK315" s="7"/>
      <c r="AL315" s="7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</row>
    <row r="316" ht="15.75" customHeight="1">
      <c r="A316" s="16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4"/>
      <c r="O316" s="4"/>
      <c r="P316" s="4"/>
      <c r="Q316" s="4"/>
      <c r="R316" s="4"/>
      <c r="S316" s="5"/>
      <c r="T316" s="4"/>
      <c r="U316" s="5"/>
      <c r="V316" s="4"/>
      <c r="W316" s="4"/>
      <c r="X316" s="4"/>
      <c r="Y316" s="6"/>
      <c r="Z316" s="6"/>
      <c r="AA316" s="7"/>
      <c r="AB316" s="8"/>
      <c r="AC316" s="8"/>
      <c r="AD316" s="8"/>
      <c r="AE316" s="8"/>
      <c r="AF316" s="7"/>
      <c r="AG316" s="7"/>
      <c r="AH316" s="7"/>
      <c r="AI316" s="7"/>
      <c r="AJ316" s="7"/>
      <c r="AK316" s="7"/>
      <c r="AL316" s="7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</row>
    <row r="317" ht="15.75" customHeight="1">
      <c r="A317" s="16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4"/>
      <c r="O317" s="4"/>
      <c r="P317" s="4"/>
      <c r="Q317" s="4"/>
      <c r="R317" s="4"/>
      <c r="S317" s="5"/>
      <c r="T317" s="4"/>
      <c r="U317" s="5"/>
      <c r="V317" s="4"/>
      <c r="W317" s="4"/>
      <c r="X317" s="4"/>
      <c r="Y317" s="6"/>
      <c r="Z317" s="6"/>
      <c r="AA317" s="7"/>
      <c r="AB317" s="8"/>
      <c r="AC317" s="8"/>
      <c r="AD317" s="8"/>
      <c r="AE317" s="8"/>
      <c r="AF317" s="7"/>
      <c r="AG317" s="7"/>
      <c r="AH317" s="7"/>
      <c r="AI317" s="7"/>
      <c r="AJ317" s="7"/>
      <c r="AK317" s="7"/>
      <c r="AL317" s="7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</row>
    <row r="318" ht="15.75" customHeight="1">
      <c r="A318" s="16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4"/>
      <c r="O318" s="4"/>
      <c r="P318" s="4"/>
      <c r="Q318" s="4"/>
      <c r="R318" s="4"/>
      <c r="S318" s="5"/>
      <c r="T318" s="4"/>
      <c r="U318" s="5"/>
      <c r="V318" s="4"/>
      <c r="W318" s="4"/>
      <c r="X318" s="4"/>
      <c r="Y318" s="6"/>
      <c r="Z318" s="6"/>
      <c r="AA318" s="7"/>
      <c r="AB318" s="8"/>
      <c r="AC318" s="8"/>
      <c r="AD318" s="8"/>
      <c r="AE318" s="8"/>
      <c r="AF318" s="7"/>
      <c r="AG318" s="7"/>
      <c r="AH318" s="7"/>
      <c r="AI318" s="7"/>
      <c r="AJ318" s="7"/>
      <c r="AK318" s="7"/>
      <c r="AL318" s="7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</row>
    <row r="319" ht="15.75" customHeight="1">
      <c r="A319" s="16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4"/>
      <c r="O319" s="4"/>
      <c r="P319" s="4"/>
      <c r="Q319" s="4"/>
      <c r="R319" s="4"/>
      <c r="S319" s="5"/>
      <c r="T319" s="4"/>
      <c r="U319" s="5"/>
      <c r="V319" s="4"/>
      <c r="W319" s="4"/>
      <c r="X319" s="4"/>
      <c r="Y319" s="6"/>
      <c r="Z319" s="6"/>
      <c r="AA319" s="7"/>
      <c r="AB319" s="8"/>
      <c r="AC319" s="8"/>
      <c r="AD319" s="8"/>
      <c r="AE319" s="8"/>
      <c r="AF319" s="7"/>
      <c r="AG319" s="7"/>
      <c r="AH319" s="7"/>
      <c r="AI319" s="7"/>
      <c r="AJ319" s="7"/>
      <c r="AK319" s="7"/>
      <c r="AL319" s="7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</row>
    <row r="320" ht="15.75" customHeight="1">
      <c r="A320" s="16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4"/>
      <c r="O320" s="4"/>
      <c r="P320" s="4"/>
      <c r="Q320" s="4"/>
      <c r="R320" s="4"/>
      <c r="S320" s="5"/>
      <c r="T320" s="4"/>
      <c r="U320" s="5"/>
      <c r="V320" s="4"/>
      <c r="W320" s="4"/>
      <c r="X320" s="4"/>
      <c r="Y320" s="6"/>
      <c r="Z320" s="6"/>
      <c r="AA320" s="7"/>
      <c r="AB320" s="8"/>
      <c r="AC320" s="8"/>
      <c r="AD320" s="8"/>
      <c r="AE320" s="8"/>
      <c r="AF320" s="7"/>
      <c r="AG320" s="7"/>
      <c r="AH320" s="7"/>
      <c r="AI320" s="7"/>
      <c r="AJ320" s="7"/>
      <c r="AK320" s="7"/>
      <c r="AL320" s="7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</row>
    <row r="321" ht="15.75" customHeight="1">
      <c r="A321" s="16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4"/>
      <c r="O321" s="4"/>
      <c r="P321" s="4"/>
      <c r="Q321" s="4"/>
      <c r="R321" s="4"/>
      <c r="S321" s="5"/>
      <c r="T321" s="4"/>
      <c r="U321" s="5"/>
      <c r="V321" s="4"/>
      <c r="W321" s="4"/>
      <c r="X321" s="4"/>
      <c r="Y321" s="6"/>
      <c r="Z321" s="6"/>
      <c r="AA321" s="7"/>
      <c r="AB321" s="8"/>
      <c r="AC321" s="8"/>
      <c r="AD321" s="8"/>
      <c r="AE321" s="8"/>
      <c r="AF321" s="7"/>
      <c r="AG321" s="7"/>
      <c r="AH321" s="7"/>
      <c r="AI321" s="7"/>
      <c r="AJ321" s="7"/>
      <c r="AK321" s="7"/>
      <c r="AL321" s="7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</row>
    <row r="322" ht="15.75" customHeight="1">
      <c r="A322" s="16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4"/>
      <c r="O322" s="4"/>
      <c r="P322" s="4"/>
      <c r="Q322" s="4"/>
      <c r="R322" s="4"/>
      <c r="S322" s="5"/>
      <c r="T322" s="4"/>
      <c r="U322" s="5"/>
      <c r="V322" s="4"/>
      <c r="W322" s="4"/>
      <c r="X322" s="4"/>
      <c r="Y322" s="6"/>
      <c r="Z322" s="6"/>
      <c r="AA322" s="7"/>
      <c r="AB322" s="8"/>
      <c r="AC322" s="8"/>
      <c r="AD322" s="8"/>
      <c r="AE322" s="8"/>
      <c r="AF322" s="7"/>
      <c r="AG322" s="7"/>
      <c r="AH322" s="7"/>
      <c r="AI322" s="7"/>
      <c r="AJ322" s="7"/>
      <c r="AK322" s="7"/>
      <c r="AL322" s="7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</row>
    <row r="323" ht="15.75" customHeight="1">
      <c r="A323" s="16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4"/>
      <c r="O323" s="4"/>
      <c r="P323" s="4"/>
      <c r="Q323" s="4"/>
      <c r="R323" s="4"/>
      <c r="S323" s="5"/>
      <c r="T323" s="4"/>
      <c r="U323" s="5"/>
      <c r="V323" s="4"/>
      <c r="W323" s="4"/>
      <c r="X323" s="4"/>
      <c r="Y323" s="6"/>
      <c r="Z323" s="6"/>
      <c r="AA323" s="7"/>
      <c r="AB323" s="8"/>
      <c r="AC323" s="8"/>
      <c r="AD323" s="8"/>
      <c r="AE323" s="8"/>
      <c r="AF323" s="7"/>
      <c r="AG323" s="7"/>
      <c r="AH323" s="7"/>
      <c r="AI323" s="7"/>
      <c r="AJ323" s="7"/>
      <c r="AK323" s="7"/>
      <c r="AL323" s="7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</row>
    <row r="324" ht="15.75" customHeight="1">
      <c r="A324" s="16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4"/>
      <c r="O324" s="4"/>
      <c r="P324" s="4"/>
      <c r="Q324" s="4"/>
      <c r="R324" s="4"/>
      <c r="S324" s="5"/>
      <c r="T324" s="4"/>
      <c r="U324" s="5"/>
      <c r="V324" s="4"/>
      <c r="W324" s="4"/>
      <c r="X324" s="4"/>
      <c r="Y324" s="6"/>
      <c r="Z324" s="6"/>
      <c r="AA324" s="7"/>
      <c r="AB324" s="8"/>
      <c r="AC324" s="8"/>
      <c r="AD324" s="8"/>
      <c r="AE324" s="8"/>
      <c r="AF324" s="7"/>
      <c r="AG324" s="7"/>
      <c r="AH324" s="7"/>
      <c r="AI324" s="7"/>
      <c r="AJ324" s="7"/>
      <c r="AK324" s="7"/>
      <c r="AL324" s="7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</row>
    <row r="325" ht="15.75" customHeight="1">
      <c r="A325" s="16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4"/>
      <c r="O325" s="4"/>
      <c r="P325" s="4"/>
      <c r="Q325" s="4"/>
      <c r="R325" s="4"/>
      <c r="S325" s="5"/>
      <c r="T325" s="4"/>
      <c r="U325" s="5"/>
      <c r="V325" s="4"/>
      <c r="W325" s="4"/>
      <c r="X325" s="4"/>
      <c r="Y325" s="6"/>
      <c r="Z325" s="6"/>
      <c r="AA325" s="7"/>
      <c r="AB325" s="8"/>
      <c r="AC325" s="8"/>
      <c r="AD325" s="8"/>
      <c r="AE325" s="8"/>
      <c r="AF325" s="7"/>
      <c r="AG325" s="7"/>
      <c r="AH325" s="7"/>
      <c r="AI325" s="7"/>
      <c r="AJ325" s="7"/>
      <c r="AK325" s="7"/>
      <c r="AL325" s="7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</row>
    <row r="326" ht="15.75" customHeight="1">
      <c r="A326" s="16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4"/>
      <c r="O326" s="4"/>
      <c r="P326" s="4"/>
      <c r="Q326" s="4"/>
      <c r="R326" s="4"/>
      <c r="S326" s="5"/>
      <c r="T326" s="4"/>
      <c r="U326" s="5"/>
      <c r="V326" s="4"/>
      <c r="W326" s="4"/>
      <c r="X326" s="4"/>
      <c r="Y326" s="6"/>
      <c r="Z326" s="6"/>
      <c r="AA326" s="7"/>
      <c r="AB326" s="8"/>
      <c r="AC326" s="8"/>
      <c r="AD326" s="8"/>
      <c r="AE326" s="8"/>
      <c r="AF326" s="7"/>
      <c r="AG326" s="7"/>
      <c r="AH326" s="7"/>
      <c r="AI326" s="7"/>
      <c r="AJ326" s="7"/>
      <c r="AK326" s="7"/>
      <c r="AL326" s="7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</row>
    <row r="327" ht="15.75" customHeight="1">
      <c r="A327" s="16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4"/>
      <c r="O327" s="4"/>
      <c r="P327" s="4"/>
      <c r="Q327" s="4"/>
      <c r="R327" s="4"/>
      <c r="S327" s="5"/>
      <c r="T327" s="4"/>
      <c r="U327" s="5"/>
      <c r="V327" s="4"/>
      <c r="W327" s="4"/>
      <c r="X327" s="4"/>
      <c r="Y327" s="6"/>
      <c r="Z327" s="6"/>
      <c r="AA327" s="7"/>
      <c r="AB327" s="8"/>
      <c r="AC327" s="8"/>
      <c r="AD327" s="8"/>
      <c r="AE327" s="8"/>
      <c r="AF327" s="7"/>
      <c r="AG327" s="7"/>
      <c r="AH327" s="7"/>
      <c r="AI327" s="7"/>
      <c r="AJ327" s="7"/>
      <c r="AK327" s="7"/>
      <c r="AL327" s="7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</row>
    <row r="328" ht="15.75" customHeight="1">
      <c r="A328" s="16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4"/>
      <c r="O328" s="4"/>
      <c r="P328" s="4"/>
      <c r="Q328" s="4"/>
      <c r="R328" s="4"/>
      <c r="S328" s="5"/>
      <c r="T328" s="4"/>
      <c r="U328" s="5"/>
      <c r="V328" s="4"/>
      <c r="W328" s="4"/>
      <c r="X328" s="4"/>
      <c r="Y328" s="6"/>
      <c r="Z328" s="6"/>
      <c r="AA328" s="7"/>
      <c r="AB328" s="8"/>
      <c r="AC328" s="8"/>
      <c r="AD328" s="8"/>
      <c r="AE328" s="8"/>
      <c r="AF328" s="7"/>
      <c r="AG328" s="7"/>
      <c r="AH328" s="7"/>
      <c r="AI328" s="7"/>
      <c r="AJ328" s="7"/>
      <c r="AK328" s="7"/>
      <c r="AL328" s="7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</row>
    <row r="329" ht="15.75" customHeight="1">
      <c r="A329" s="16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4"/>
      <c r="O329" s="4"/>
      <c r="P329" s="4"/>
      <c r="Q329" s="4"/>
      <c r="R329" s="4"/>
      <c r="S329" s="5"/>
      <c r="T329" s="4"/>
      <c r="U329" s="5"/>
      <c r="V329" s="4"/>
      <c r="W329" s="4"/>
      <c r="X329" s="4"/>
      <c r="Y329" s="6"/>
      <c r="Z329" s="6"/>
      <c r="AA329" s="7"/>
      <c r="AB329" s="8"/>
      <c r="AC329" s="8"/>
      <c r="AD329" s="8"/>
      <c r="AE329" s="8"/>
      <c r="AF329" s="7"/>
      <c r="AG329" s="7"/>
      <c r="AH329" s="7"/>
      <c r="AI329" s="7"/>
      <c r="AJ329" s="7"/>
      <c r="AK329" s="7"/>
      <c r="AL329" s="7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</row>
    <row r="330" ht="15.75" customHeight="1">
      <c r="A330" s="16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4"/>
      <c r="O330" s="4"/>
      <c r="P330" s="4"/>
      <c r="Q330" s="4"/>
      <c r="R330" s="4"/>
      <c r="S330" s="5"/>
      <c r="T330" s="4"/>
      <c r="U330" s="5"/>
      <c r="V330" s="4"/>
      <c r="W330" s="4"/>
      <c r="X330" s="4"/>
      <c r="Y330" s="6"/>
      <c r="Z330" s="6"/>
      <c r="AA330" s="7"/>
      <c r="AB330" s="8"/>
      <c r="AC330" s="8"/>
      <c r="AD330" s="8"/>
      <c r="AE330" s="8"/>
      <c r="AF330" s="7"/>
      <c r="AG330" s="7"/>
      <c r="AH330" s="7"/>
      <c r="AI330" s="7"/>
      <c r="AJ330" s="7"/>
      <c r="AK330" s="7"/>
      <c r="AL330" s="7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</row>
    <row r="331" ht="15.75" customHeight="1">
      <c r="A331" s="16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4"/>
      <c r="O331" s="4"/>
      <c r="P331" s="4"/>
      <c r="Q331" s="4"/>
      <c r="R331" s="4"/>
      <c r="S331" s="5"/>
      <c r="T331" s="4"/>
      <c r="U331" s="5"/>
      <c r="V331" s="4"/>
      <c r="W331" s="4"/>
      <c r="X331" s="4"/>
      <c r="Y331" s="6"/>
      <c r="Z331" s="6"/>
      <c r="AA331" s="7"/>
      <c r="AB331" s="8"/>
      <c r="AC331" s="8"/>
      <c r="AD331" s="8"/>
      <c r="AE331" s="8"/>
      <c r="AF331" s="7"/>
      <c r="AG331" s="7"/>
      <c r="AH331" s="7"/>
      <c r="AI331" s="7"/>
      <c r="AJ331" s="7"/>
      <c r="AK331" s="7"/>
      <c r="AL331" s="7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</row>
    <row r="332" ht="15.75" customHeight="1">
      <c r="A332" s="16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4"/>
      <c r="O332" s="4"/>
      <c r="P332" s="4"/>
      <c r="Q332" s="4"/>
      <c r="R332" s="4"/>
      <c r="S332" s="5"/>
      <c r="T332" s="4"/>
      <c r="U332" s="5"/>
      <c r="V332" s="4"/>
      <c r="W332" s="4"/>
      <c r="X332" s="4"/>
      <c r="Y332" s="6"/>
      <c r="Z332" s="6"/>
      <c r="AA332" s="7"/>
      <c r="AB332" s="8"/>
      <c r="AC332" s="8"/>
      <c r="AD332" s="8"/>
      <c r="AE332" s="8"/>
      <c r="AF332" s="7"/>
      <c r="AG332" s="7"/>
      <c r="AH332" s="7"/>
      <c r="AI332" s="7"/>
      <c r="AJ332" s="7"/>
      <c r="AK332" s="7"/>
      <c r="AL332" s="7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</row>
    <row r="333" ht="15.75" customHeight="1">
      <c r="A333" s="16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4"/>
      <c r="O333" s="4"/>
      <c r="P333" s="4"/>
      <c r="Q333" s="4"/>
      <c r="R333" s="4"/>
      <c r="S333" s="5"/>
      <c r="T333" s="4"/>
      <c r="U333" s="5"/>
      <c r="V333" s="4"/>
      <c r="W333" s="4"/>
      <c r="X333" s="4"/>
      <c r="Y333" s="6"/>
      <c r="Z333" s="6"/>
      <c r="AA333" s="7"/>
      <c r="AB333" s="8"/>
      <c r="AC333" s="8"/>
      <c r="AD333" s="8"/>
      <c r="AE333" s="8"/>
      <c r="AF333" s="7"/>
      <c r="AG333" s="7"/>
      <c r="AH333" s="7"/>
      <c r="AI333" s="7"/>
      <c r="AJ333" s="7"/>
      <c r="AK333" s="7"/>
      <c r="AL333" s="7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</row>
    <row r="334" ht="15.75" customHeight="1">
      <c r="A334" s="16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4"/>
      <c r="O334" s="4"/>
      <c r="P334" s="4"/>
      <c r="Q334" s="4"/>
      <c r="R334" s="4"/>
      <c r="S334" s="5"/>
      <c r="T334" s="4"/>
      <c r="U334" s="5"/>
      <c r="V334" s="4"/>
      <c r="W334" s="4"/>
      <c r="X334" s="4"/>
      <c r="Y334" s="6"/>
      <c r="Z334" s="6"/>
      <c r="AA334" s="7"/>
      <c r="AB334" s="8"/>
      <c r="AC334" s="8"/>
      <c r="AD334" s="8"/>
      <c r="AE334" s="8"/>
      <c r="AF334" s="7"/>
      <c r="AG334" s="7"/>
      <c r="AH334" s="7"/>
      <c r="AI334" s="7"/>
      <c r="AJ334" s="7"/>
      <c r="AK334" s="7"/>
      <c r="AL334" s="7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</row>
    <row r="335" ht="15.75" customHeight="1">
      <c r="A335" s="16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4"/>
      <c r="O335" s="4"/>
      <c r="P335" s="4"/>
      <c r="Q335" s="4"/>
      <c r="R335" s="4"/>
      <c r="S335" s="5"/>
      <c r="T335" s="4"/>
      <c r="U335" s="5"/>
      <c r="V335" s="4"/>
      <c r="W335" s="4"/>
      <c r="X335" s="4"/>
      <c r="Y335" s="6"/>
      <c r="Z335" s="6"/>
      <c r="AA335" s="7"/>
      <c r="AB335" s="8"/>
      <c r="AC335" s="8"/>
      <c r="AD335" s="8"/>
      <c r="AE335" s="8"/>
      <c r="AF335" s="7"/>
      <c r="AG335" s="7"/>
      <c r="AH335" s="7"/>
      <c r="AI335" s="7"/>
      <c r="AJ335" s="7"/>
      <c r="AK335" s="7"/>
      <c r="AL335" s="7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</row>
    <row r="336" ht="15.75" customHeight="1">
      <c r="A336" s="16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4"/>
      <c r="O336" s="4"/>
      <c r="P336" s="4"/>
      <c r="Q336" s="4"/>
      <c r="R336" s="4"/>
      <c r="S336" s="5"/>
      <c r="T336" s="4"/>
      <c r="U336" s="5"/>
      <c r="V336" s="4"/>
      <c r="W336" s="4"/>
      <c r="X336" s="4"/>
      <c r="Y336" s="6"/>
      <c r="Z336" s="6"/>
      <c r="AA336" s="7"/>
      <c r="AB336" s="8"/>
      <c r="AC336" s="8"/>
      <c r="AD336" s="8"/>
      <c r="AE336" s="8"/>
      <c r="AF336" s="7"/>
      <c r="AG336" s="7"/>
      <c r="AH336" s="7"/>
      <c r="AI336" s="7"/>
      <c r="AJ336" s="7"/>
      <c r="AK336" s="7"/>
      <c r="AL336" s="7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</row>
    <row r="337" ht="15.75" customHeight="1">
      <c r="A337" s="16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4"/>
      <c r="O337" s="4"/>
      <c r="P337" s="4"/>
      <c r="Q337" s="4"/>
      <c r="R337" s="4"/>
      <c r="S337" s="5"/>
      <c r="T337" s="4"/>
      <c r="U337" s="5"/>
      <c r="V337" s="4"/>
      <c r="W337" s="4"/>
      <c r="X337" s="4"/>
      <c r="Y337" s="6"/>
      <c r="Z337" s="6"/>
      <c r="AA337" s="7"/>
      <c r="AB337" s="8"/>
      <c r="AC337" s="8"/>
      <c r="AD337" s="8"/>
      <c r="AE337" s="8"/>
      <c r="AF337" s="7"/>
      <c r="AG337" s="7"/>
      <c r="AH337" s="7"/>
      <c r="AI337" s="7"/>
      <c r="AJ337" s="7"/>
      <c r="AK337" s="7"/>
      <c r="AL337" s="7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</row>
    <row r="338" ht="15.75" customHeight="1">
      <c r="A338" s="16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4"/>
      <c r="O338" s="4"/>
      <c r="P338" s="4"/>
      <c r="Q338" s="4"/>
      <c r="R338" s="4"/>
      <c r="S338" s="5"/>
      <c r="T338" s="4"/>
      <c r="U338" s="5"/>
      <c r="V338" s="4"/>
      <c r="W338" s="4"/>
      <c r="X338" s="4"/>
      <c r="Y338" s="6"/>
      <c r="Z338" s="6"/>
      <c r="AA338" s="7"/>
      <c r="AB338" s="8"/>
      <c r="AC338" s="8"/>
      <c r="AD338" s="8"/>
      <c r="AE338" s="8"/>
      <c r="AF338" s="7"/>
      <c r="AG338" s="7"/>
      <c r="AH338" s="7"/>
      <c r="AI338" s="7"/>
      <c r="AJ338" s="7"/>
      <c r="AK338" s="7"/>
      <c r="AL338" s="7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</row>
    <row r="339" ht="15.75" customHeight="1">
      <c r="A339" s="16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4"/>
      <c r="O339" s="4"/>
      <c r="P339" s="4"/>
      <c r="Q339" s="4"/>
      <c r="R339" s="4"/>
      <c r="S339" s="5"/>
      <c r="T339" s="4"/>
      <c r="U339" s="5"/>
      <c r="V339" s="4"/>
      <c r="W339" s="4"/>
      <c r="X339" s="4"/>
      <c r="Y339" s="6"/>
      <c r="Z339" s="6"/>
      <c r="AA339" s="7"/>
      <c r="AB339" s="8"/>
      <c r="AC339" s="8"/>
      <c r="AD339" s="8"/>
      <c r="AE339" s="8"/>
      <c r="AF339" s="7"/>
      <c r="AG339" s="7"/>
      <c r="AH339" s="7"/>
      <c r="AI339" s="7"/>
      <c r="AJ339" s="7"/>
      <c r="AK339" s="7"/>
      <c r="AL339" s="7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</row>
    <row r="340" ht="15.75" customHeight="1">
      <c r="A340" s="16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4"/>
      <c r="O340" s="4"/>
      <c r="P340" s="4"/>
      <c r="Q340" s="4"/>
      <c r="R340" s="4"/>
      <c r="S340" s="5"/>
      <c r="T340" s="4"/>
      <c r="U340" s="5"/>
      <c r="V340" s="4"/>
      <c r="W340" s="4"/>
      <c r="X340" s="4"/>
      <c r="Y340" s="6"/>
      <c r="Z340" s="6"/>
      <c r="AA340" s="7"/>
      <c r="AB340" s="8"/>
      <c r="AC340" s="8"/>
      <c r="AD340" s="8"/>
      <c r="AE340" s="8"/>
      <c r="AF340" s="7"/>
      <c r="AG340" s="7"/>
      <c r="AH340" s="7"/>
      <c r="AI340" s="7"/>
      <c r="AJ340" s="7"/>
      <c r="AK340" s="7"/>
      <c r="AL340" s="7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</row>
    <row r="341" ht="15.75" customHeight="1">
      <c r="A341" s="16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4"/>
      <c r="O341" s="4"/>
      <c r="P341" s="4"/>
      <c r="Q341" s="4"/>
      <c r="R341" s="4"/>
      <c r="S341" s="5"/>
      <c r="T341" s="4"/>
      <c r="U341" s="5"/>
      <c r="V341" s="4"/>
      <c r="W341" s="4"/>
      <c r="X341" s="4"/>
      <c r="Y341" s="6"/>
      <c r="Z341" s="6"/>
      <c r="AA341" s="7"/>
      <c r="AB341" s="8"/>
      <c r="AC341" s="8"/>
      <c r="AD341" s="8"/>
      <c r="AE341" s="8"/>
      <c r="AF341" s="7"/>
      <c r="AG341" s="7"/>
      <c r="AH341" s="7"/>
      <c r="AI341" s="7"/>
      <c r="AJ341" s="7"/>
      <c r="AK341" s="7"/>
      <c r="AL341" s="7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</row>
    <row r="342" ht="15.75" customHeight="1">
      <c r="A342" s="16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4"/>
      <c r="O342" s="4"/>
      <c r="P342" s="4"/>
      <c r="Q342" s="4"/>
      <c r="R342" s="4"/>
      <c r="S342" s="5"/>
      <c r="T342" s="4"/>
      <c r="U342" s="5"/>
      <c r="V342" s="4"/>
      <c r="W342" s="4"/>
      <c r="X342" s="4"/>
      <c r="Y342" s="6"/>
      <c r="Z342" s="6"/>
      <c r="AA342" s="7"/>
      <c r="AB342" s="8"/>
      <c r="AC342" s="8"/>
      <c r="AD342" s="8"/>
      <c r="AE342" s="8"/>
      <c r="AF342" s="7"/>
      <c r="AG342" s="7"/>
      <c r="AH342" s="7"/>
      <c r="AI342" s="7"/>
      <c r="AJ342" s="7"/>
      <c r="AK342" s="7"/>
      <c r="AL342" s="7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</row>
    <row r="343" ht="15.75" customHeight="1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"/>
      <c r="Y343" s="109"/>
      <c r="Z343" s="109"/>
      <c r="AA343" s="109"/>
      <c r="AB343" s="109"/>
      <c r="AC343" s="109"/>
      <c r="AD343" s="109"/>
      <c r="AE343" s="109"/>
      <c r="AF343" s="109"/>
      <c r="AG343" s="109"/>
      <c r="AH343" s="109"/>
      <c r="AI343" s="109"/>
      <c r="AJ343" s="109"/>
      <c r="AK343" s="109"/>
      <c r="AL343" s="109"/>
      <c r="AM343" s="109"/>
      <c r="AN343" s="109"/>
      <c r="AO343" s="109"/>
      <c r="AP343" s="109"/>
      <c r="AQ343" s="109"/>
      <c r="AR343" s="109"/>
      <c r="AS343" s="109"/>
      <c r="AT343" s="109"/>
      <c r="AU343" s="109"/>
      <c r="AV343" s="109"/>
      <c r="AW343" s="109"/>
      <c r="AX343" s="109"/>
    </row>
    <row r="344" ht="15.75" customHeight="1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"/>
      <c r="Y344" s="109"/>
      <c r="Z344" s="109"/>
      <c r="AA344" s="109"/>
      <c r="AB344" s="109"/>
      <c r="AC344" s="109"/>
      <c r="AD344" s="109"/>
      <c r="AE344" s="109"/>
      <c r="AF344" s="109"/>
      <c r="AG344" s="109"/>
      <c r="AH344" s="109"/>
      <c r="AI344" s="109"/>
      <c r="AJ344" s="109"/>
      <c r="AK344" s="109"/>
      <c r="AL344" s="109"/>
      <c r="AM344" s="109"/>
      <c r="AN344" s="109"/>
      <c r="AO344" s="109"/>
      <c r="AP344" s="109"/>
      <c r="AQ344" s="109"/>
      <c r="AR344" s="109"/>
      <c r="AS344" s="109"/>
      <c r="AT344" s="109"/>
      <c r="AU344" s="109"/>
      <c r="AV344" s="109"/>
      <c r="AW344" s="109"/>
      <c r="AX344" s="109"/>
    </row>
    <row r="345" ht="15.75" customHeight="1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"/>
      <c r="Y345" s="109"/>
      <c r="Z345" s="109"/>
      <c r="AA345" s="109"/>
      <c r="AB345" s="109"/>
      <c r="AC345" s="109"/>
      <c r="AD345" s="109"/>
      <c r="AE345" s="109"/>
      <c r="AF345" s="109"/>
      <c r="AG345" s="109"/>
      <c r="AH345" s="109"/>
      <c r="AI345" s="109"/>
      <c r="AJ345" s="109"/>
      <c r="AK345" s="109"/>
      <c r="AL345" s="109"/>
      <c r="AM345" s="109"/>
      <c r="AN345" s="109"/>
      <c r="AO345" s="109"/>
      <c r="AP345" s="109"/>
      <c r="AQ345" s="109"/>
      <c r="AR345" s="109"/>
      <c r="AS345" s="109"/>
      <c r="AT345" s="109"/>
      <c r="AU345" s="109"/>
      <c r="AV345" s="109"/>
      <c r="AW345" s="109"/>
      <c r="AX345" s="109"/>
    </row>
    <row r="346" ht="15.75" customHeight="1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"/>
      <c r="Y346" s="109"/>
      <c r="Z346" s="109"/>
      <c r="AA346" s="109"/>
      <c r="AB346" s="109"/>
      <c r="AC346" s="109"/>
      <c r="AD346" s="109"/>
      <c r="AE346" s="109"/>
      <c r="AF346" s="109"/>
      <c r="AG346" s="109"/>
      <c r="AH346" s="109"/>
      <c r="AI346" s="109"/>
      <c r="AJ346" s="109"/>
      <c r="AK346" s="109"/>
      <c r="AL346" s="109"/>
      <c r="AM346" s="109"/>
      <c r="AN346" s="109"/>
      <c r="AO346" s="109"/>
      <c r="AP346" s="109"/>
      <c r="AQ346" s="109"/>
      <c r="AR346" s="109"/>
      <c r="AS346" s="109"/>
      <c r="AT346" s="109"/>
      <c r="AU346" s="109"/>
      <c r="AV346" s="109"/>
      <c r="AW346" s="109"/>
      <c r="AX346" s="109"/>
    </row>
    <row r="347" ht="15.75" customHeight="1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"/>
      <c r="Y347" s="109"/>
      <c r="Z347" s="109"/>
      <c r="AA347" s="109"/>
      <c r="AB347" s="109"/>
      <c r="AC347" s="109"/>
      <c r="AD347" s="109"/>
      <c r="AE347" s="109"/>
      <c r="AF347" s="109"/>
      <c r="AG347" s="109"/>
      <c r="AH347" s="109"/>
      <c r="AI347" s="109"/>
      <c r="AJ347" s="109"/>
      <c r="AK347" s="109"/>
      <c r="AL347" s="109"/>
      <c r="AM347" s="109"/>
      <c r="AN347" s="109"/>
      <c r="AO347" s="109"/>
      <c r="AP347" s="109"/>
      <c r="AQ347" s="109"/>
      <c r="AR347" s="109"/>
      <c r="AS347" s="109"/>
      <c r="AT347" s="109"/>
      <c r="AU347" s="109"/>
      <c r="AV347" s="109"/>
      <c r="AW347" s="109"/>
      <c r="AX347" s="109"/>
    </row>
    <row r="348" ht="15.75" customHeight="1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"/>
      <c r="Y348" s="109"/>
      <c r="Z348" s="109"/>
      <c r="AA348" s="109"/>
      <c r="AB348" s="109"/>
      <c r="AC348" s="109"/>
      <c r="AD348" s="109"/>
      <c r="AE348" s="109"/>
      <c r="AF348" s="109"/>
      <c r="AG348" s="109"/>
      <c r="AH348" s="109"/>
      <c r="AI348" s="109"/>
      <c r="AJ348" s="109"/>
      <c r="AK348" s="109"/>
      <c r="AL348" s="109"/>
      <c r="AM348" s="109"/>
      <c r="AN348" s="109"/>
      <c r="AO348" s="109"/>
      <c r="AP348" s="109"/>
      <c r="AQ348" s="109"/>
      <c r="AR348" s="109"/>
      <c r="AS348" s="109"/>
      <c r="AT348" s="109"/>
      <c r="AU348" s="109"/>
      <c r="AV348" s="109"/>
      <c r="AW348" s="109"/>
      <c r="AX348" s="109"/>
    </row>
    <row r="349" ht="15.75" customHeight="1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09"/>
      <c r="AJ349" s="109"/>
      <c r="AK349" s="109"/>
      <c r="AL349" s="109"/>
      <c r="AM349" s="109"/>
      <c r="AN349" s="109"/>
      <c r="AO349" s="109"/>
      <c r="AP349" s="109"/>
      <c r="AQ349" s="109"/>
      <c r="AR349" s="109"/>
      <c r="AS349" s="109"/>
      <c r="AT349" s="109"/>
      <c r="AU349" s="109"/>
      <c r="AV349" s="109"/>
      <c r="AW349" s="109"/>
      <c r="AX349" s="109"/>
    </row>
    <row r="350" ht="15.75" customHeight="1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"/>
      <c r="Y350" s="109"/>
      <c r="Z350" s="109"/>
      <c r="AA350" s="109"/>
      <c r="AB350" s="109"/>
      <c r="AC350" s="109"/>
      <c r="AD350" s="109"/>
      <c r="AE350" s="109"/>
      <c r="AF350" s="109"/>
      <c r="AG350" s="109"/>
      <c r="AH350" s="109"/>
      <c r="AI350" s="109"/>
      <c r="AJ350" s="109"/>
      <c r="AK350" s="109"/>
      <c r="AL350" s="109"/>
      <c r="AM350" s="109"/>
      <c r="AN350" s="109"/>
      <c r="AO350" s="109"/>
      <c r="AP350" s="109"/>
      <c r="AQ350" s="109"/>
      <c r="AR350" s="109"/>
      <c r="AS350" s="109"/>
      <c r="AT350" s="109"/>
      <c r="AU350" s="109"/>
      <c r="AV350" s="109"/>
      <c r="AW350" s="109"/>
      <c r="AX350" s="109"/>
    </row>
    <row r="351" ht="15.75" customHeight="1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"/>
      <c r="Y351" s="109"/>
      <c r="Z351" s="109"/>
      <c r="AA351" s="109"/>
      <c r="AB351" s="109"/>
      <c r="AC351" s="109"/>
      <c r="AD351" s="109"/>
      <c r="AE351" s="109"/>
      <c r="AF351" s="109"/>
      <c r="AG351" s="109"/>
      <c r="AH351" s="109"/>
      <c r="AI351" s="109"/>
      <c r="AJ351" s="109"/>
      <c r="AK351" s="109"/>
      <c r="AL351" s="109"/>
      <c r="AM351" s="109"/>
      <c r="AN351" s="109"/>
      <c r="AO351" s="109"/>
      <c r="AP351" s="109"/>
      <c r="AQ351" s="109"/>
      <c r="AR351" s="109"/>
      <c r="AS351" s="109"/>
      <c r="AT351" s="109"/>
      <c r="AU351" s="109"/>
      <c r="AV351" s="109"/>
      <c r="AW351" s="109"/>
      <c r="AX351" s="109"/>
    </row>
    <row r="352" ht="15.75" customHeight="1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"/>
      <c r="Y352" s="109"/>
      <c r="Z352" s="109"/>
      <c r="AA352" s="109"/>
      <c r="AB352" s="109"/>
      <c r="AC352" s="109"/>
      <c r="AD352" s="109"/>
      <c r="AE352" s="109"/>
      <c r="AF352" s="109"/>
      <c r="AG352" s="109"/>
      <c r="AH352" s="109"/>
      <c r="AI352" s="109"/>
      <c r="AJ352" s="109"/>
      <c r="AK352" s="109"/>
      <c r="AL352" s="109"/>
      <c r="AM352" s="109"/>
      <c r="AN352" s="109"/>
      <c r="AO352" s="109"/>
      <c r="AP352" s="109"/>
      <c r="AQ352" s="109"/>
      <c r="AR352" s="109"/>
      <c r="AS352" s="109"/>
      <c r="AT352" s="109"/>
      <c r="AU352" s="109"/>
      <c r="AV352" s="109"/>
      <c r="AW352" s="109"/>
      <c r="AX352" s="109"/>
    </row>
    <row r="353" ht="15.75" customHeight="1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"/>
      <c r="Y353" s="109"/>
      <c r="Z353" s="109"/>
      <c r="AA353" s="109"/>
      <c r="AB353" s="109"/>
      <c r="AC353" s="109"/>
      <c r="AD353" s="109"/>
      <c r="AE353" s="109"/>
      <c r="AF353" s="109"/>
      <c r="AG353" s="109"/>
      <c r="AH353" s="109"/>
      <c r="AI353" s="109"/>
      <c r="AJ353" s="109"/>
      <c r="AK353" s="109"/>
      <c r="AL353" s="109"/>
      <c r="AM353" s="109"/>
      <c r="AN353" s="109"/>
      <c r="AO353" s="109"/>
      <c r="AP353" s="109"/>
      <c r="AQ353" s="109"/>
      <c r="AR353" s="109"/>
      <c r="AS353" s="109"/>
      <c r="AT353" s="109"/>
      <c r="AU353" s="109"/>
      <c r="AV353" s="109"/>
      <c r="AW353" s="109"/>
      <c r="AX353" s="109"/>
    </row>
    <row r="354" ht="15.75" customHeight="1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"/>
      <c r="Y354" s="109"/>
      <c r="Z354" s="109"/>
      <c r="AA354" s="109"/>
      <c r="AB354" s="109"/>
      <c r="AC354" s="109"/>
      <c r="AD354" s="109"/>
      <c r="AE354" s="109"/>
      <c r="AF354" s="109"/>
      <c r="AG354" s="109"/>
      <c r="AH354" s="109"/>
      <c r="AI354" s="109"/>
      <c r="AJ354" s="109"/>
      <c r="AK354" s="109"/>
      <c r="AL354" s="109"/>
      <c r="AM354" s="109"/>
      <c r="AN354" s="109"/>
      <c r="AO354" s="109"/>
      <c r="AP354" s="109"/>
      <c r="AQ354" s="109"/>
      <c r="AR354" s="109"/>
      <c r="AS354" s="109"/>
      <c r="AT354" s="109"/>
      <c r="AU354" s="109"/>
      <c r="AV354" s="109"/>
      <c r="AW354" s="109"/>
      <c r="AX354" s="109"/>
    </row>
    <row r="355" ht="15.75" customHeight="1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"/>
      <c r="Y355" s="109"/>
      <c r="Z355" s="109"/>
      <c r="AA355" s="109"/>
      <c r="AB355" s="109"/>
      <c r="AC355" s="109"/>
      <c r="AD355" s="109"/>
      <c r="AE355" s="109"/>
      <c r="AF355" s="109"/>
      <c r="AG355" s="109"/>
      <c r="AH355" s="109"/>
      <c r="AI355" s="109"/>
      <c r="AJ355" s="109"/>
      <c r="AK355" s="109"/>
      <c r="AL355" s="109"/>
      <c r="AM355" s="109"/>
      <c r="AN355" s="109"/>
      <c r="AO355" s="109"/>
      <c r="AP355" s="109"/>
      <c r="AQ355" s="109"/>
      <c r="AR355" s="109"/>
      <c r="AS355" s="109"/>
      <c r="AT355" s="109"/>
      <c r="AU355" s="109"/>
      <c r="AV355" s="109"/>
      <c r="AW355" s="109"/>
      <c r="AX355" s="109"/>
    </row>
    <row r="356" ht="15.75" customHeight="1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"/>
      <c r="Y356" s="109"/>
      <c r="Z356" s="109"/>
      <c r="AA356" s="109"/>
      <c r="AB356" s="109"/>
      <c r="AC356" s="109"/>
      <c r="AD356" s="109"/>
      <c r="AE356" s="109"/>
      <c r="AF356" s="109"/>
      <c r="AG356" s="109"/>
      <c r="AH356" s="109"/>
      <c r="AI356" s="109"/>
      <c r="AJ356" s="109"/>
      <c r="AK356" s="109"/>
      <c r="AL356" s="109"/>
      <c r="AM356" s="109"/>
      <c r="AN356" s="109"/>
      <c r="AO356" s="109"/>
      <c r="AP356" s="109"/>
      <c r="AQ356" s="109"/>
      <c r="AR356" s="109"/>
      <c r="AS356" s="109"/>
      <c r="AT356" s="109"/>
      <c r="AU356" s="109"/>
      <c r="AV356" s="109"/>
      <c r="AW356" s="109"/>
      <c r="AX356" s="109"/>
    </row>
    <row r="357" ht="15.75" customHeight="1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"/>
      <c r="Y357" s="109"/>
      <c r="Z357" s="109"/>
      <c r="AA357" s="109"/>
      <c r="AB357" s="109"/>
      <c r="AC357" s="109"/>
      <c r="AD357" s="109"/>
      <c r="AE357" s="109"/>
      <c r="AF357" s="109"/>
      <c r="AG357" s="109"/>
      <c r="AH357" s="109"/>
      <c r="AI357" s="109"/>
      <c r="AJ357" s="109"/>
      <c r="AK357" s="109"/>
      <c r="AL357" s="109"/>
      <c r="AM357" s="109"/>
      <c r="AN357" s="109"/>
      <c r="AO357" s="109"/>
      <c r="AP357" s="109"/>
      <c r="AQ357" s="109"/>
      <c r="AR357" s="109"/>
      <c r="AS357" s="109"/>
      <c r="AT357" s="109"/>
      <c r="AU357" s="109"/>
      <c r="AV357" s="109"/>
      <c r="AW357" s="109"/>
      <c r="AX357" s="109"/>
    </row>
    <row r="358" ht="15.75" customHeight="1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"/>
      <c r="Y358" s="109"/>
      <c r="Z358" s="109"/>
      <c r="AA358" s="109"/>
      <c r="AB358" s="109"/>
      <c r="AC358" s="109"/>
      <c r="AD358" s="109"/>
      <c r="AE358" s="109"/>
      <c r="AF358" s="109"/>
      <c r="AG358" s="109"/>
      <c r="AH358" s="109"/>
      <c r="AI358" s="109"/>
      <c r="AJ358" s="109"/>
      <c r="AK358" s="109"/>
      <c r="AL358" s="109"/>
      <c r="AM358" s="109"/>
      <c r="AN358" s="109"/>
      <c r="AO358" s="109"/>
      <c r="AP358" s="109"/>
      <c r="AQ358" s="109"/>
      <c r="AR358" s="109"/>
      <c r="AS358" s="109"/>
      <c r="AT358" s="109"/>
      <c r="AU358" s="109"/>
      <c r="AV358" s="109"/>
      <c r="AW358" s="109"/>
      <c r="AX358" s="109"/>
    </row>
    <row r="359" ht="15.75" customHeight="1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"/>
      <c r="Y359" s="109"/>
      <c r="Z359" s="109"/>
      <c r="AA359" s="109"/>
      <c r="AB359" s="109"/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109"/>
      <c r="AQ359" s="109"/>
      <c r="AR359" s="109"/>
      <c r="AS359" s="109"/>
      <c r="AT359" s="109"/>
      <c r="AU359" s="109"/>
      <c r="AV359" s="109"/>
      <c r="AW359" s="109"/>
      <c r="AX359" s="109"/>
    </row>
    <row r="360" ht="15.75" customHeight="1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"/>
      <c r="Y360" s="109"/>
      <c r="Z360" s="109"/>
      <c r="AA360" s="109"/>
      <c r="AB360" s="109"/>
      <c r="AC360" s="109"/>
      <c r="AD360" s="109"/>
      <c r="AE360" s="109"/>
      <c r="AF360" s="109"/>
      <c r="AG360" s="109"/>
      <c r="AH360" s="109"/>
      <c r="AI360" s="109"/>
      <c r="AJ360" s="109"/>
      <c r="AK360" s="109"/>
      <c r="AL360" s="109"/>
      <c r="AM360" s="109"/>
      <c r="AN360" s="109"/>
      <c r="AO360" s="109"/>
      <c r="AP360" s="109"/>
      <c r="AQ360" s="109"/>
      <c r="AR360" s="109"/>
      <c r="AS360" s="109"/>
      <c r="AT360" s="109"/>
      <c r="AU360" s="109"/>
      <c r="AV360" s="109"/>
      <c r="AW360" s="109"/>
      <c r="AX360" s="109"/>
    </row>
    <row r="361" ht="15.75" customHeight="1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"/>
      <c r="Y361" s="109"/>
      <c r="Z361" s="109"/>
      <c r="AA361" s="109"/>
      <c r="AB361" s="109"/>
      <c r="AC361" s="109"/>
      <c r="AD361" s="109"/>
      <c r="AE361" s="109"/>
      <c r="AF361" s="109"/>
      <c r="AG361" s="109"/>
      <c r="AH361" s="109"/>
      <c r="AI361" s="109"/>
      <c r="AJ361" s="109"/>
      <c r="AK361" s="109"/>
      <c r="AL361" s="109"/>
      <c r="AM361" s="109"/>
      <c r="AN361" s="109"/>
      <c r="AO361" s="109"/>
      <c r="AP361" s="109"/>
      <c r="AQ361" s="109"/>
      <c r="AR361" s="109"/>
      <c r="AS361" s="109"/>
      <c r="AT361" s="109"/>
      <c r="AU361" s="109"/>
      <c r="AV361" s="109"/>
      <c r="AW361" s="109"/>
      <c r="AX361" s="109"/>
    </row>
    <row r="362" ht="15.75" customHeight="1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"/>
      <c r="Y362" s="109"/>
      <c r="Z362" s="109"/>
      <c r="AA362" s="109"/>
      <c r="AB362" s="109"/>
      <c r="AC362" s="109"/>
      <c r="AD362" s="109"/>
      <c r="AE362" s="109"/>
      <c r="AF362" s="109"/>
      <c r="AG362" s="109"/>
      <c r="AH362" s="109"/>
      <c r="AI362" s="109"/>
      <c r="AJ362" s="109"/>
      <c r="AK362" s="109"/>
      <c r="AL362" s="109"/>
      <c r="AM362" s="109"/>
      <c r="AN362" s="109"/>
      <c r="AO362" s="109"/>
      <c r="AP362" s="109"/>
      <c r="AQ362" s="109"/>
      <c r="AR362" s="109"/>
      <c r="AS362" s="109"/>
      <c r="AT362" s="109"/>
      <c r="AU362" s="109"/>
      <c r="AV362" s="109"/>
      <c r="AW362" s="109"/>
      <c r="AX362" s="109"/>
    </row>
    <row r="363" ht="15.75" customHeight="1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"/>
      <c r="Y363" s="109"/>
      <c r="Z363" s="109"/>
      <c r="AA363" s="109"/>
      <c r="AB363" s="109"/>
      <c r="AC363" s="109"/>
      <c r="AD363" s="109"/>
      <c r="AE363" s="109"/>
      <c r="AF363" s="109"/>
      <c r="AG363" s="109"/>
      <c r="AH363" s="109"/>
      <c r="AI363" s="109"/>
      <c r="AJ363" s="109"/>
      <c r="AK363" s="109"/>
      <c r="AL363" s="109"/>
      <c r="AM363" s="109"/>
      <c r="AN363" s="109"/>
      <c r="AO363" s="109"/>
      <c r="AP363" s="109"/>
      <c r="AQ363" s="109"/>
      <c r="AR363" s="109"/>
      <c r="AS363" s="109"/>
      <c r="AT363" s="109"/>
      <c r="AU363" s="109"/>
      <c r="AV363" s="109"/>
      <c r="AW363" s="109"/>
      <c r="AX363" s="109"/>
    </row>
    <row r="364" ht="15.75" customHeight="1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"/>
      <c r="Y364" s="109"/>
      <c r="Z364" s="109"/>
      <c r="AA364" s="109"/>
      <c r="AB364" s="109"/>
      <c r="AC364" s="109"/>
      <c r="AD364" s="109"/>
      <c r="AE364" s="109"/>
      <c r="AF364" s="109"/>
      <c r="AG364" s="109"/>
      <c r="AH364" s="109"/>
      <c r="AI364" s="109"/>
      <c r="AJ364" s="109"/>
      <c r="AK364" s="109"/>
      <c r="AL364" s="109"/>
      <c r="AM364" s="109"/>
      <c r="AN364" s="109"/>
      <c r="AO364" s="109"/>
      <c r="AP364" s="109"/>
      <c r="AQ364" s="109"/>
      <c r="AR364" s="109"/>
      <c r="AS364" s="109"/>
      <c r="AT364" s="109"/>
      <c r="AU364" s="109"/>
      <c r="AV364" s="109"/>
      <c r="AW364" s="109"/>
      <c r="AX364" s="109"/>
    </row>
    <row r="365" ht="15.75" customHeight="1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"/>
      <c r="Y365" s="109"/>
      <c r="Z365" s="109"/>
      <c r="AA365" s="109"/>
      <c r="AB365" s="109"/>
      <c r="AC365" s="109"/>
      <c r="AD365" s="109"/>
      <c r="AE365" s="109"/>
      <c r="AF365" s="109"/>
      <c r="AG365" s="109"/>
      <c r="AH365" s="109"/>
      <c r="AI365" s="109"/>
      <c r="AJ365" s="109"/>
      <c r="AK365" s="109"/>
      <c r="AL365" s="109"/>
      <c r="AM365" s="109"/>
      <c r="AN365" s="109"/>
      <c r="AO365" s="109"/>
      <c r="AP365" s="109"/>
      <c r="AQ365" s="109"/>
      <c r="AR365" s="109"/>
      <c r="AS365" s="109"/>
      <c r="AT365" s="109"/>
      <c r="AU365" s="109"/>
      <c r="AV365" s="109"/>
      <c r="AW365" s="109"/>
      <c r="AX365" s="109"/>
    </row>
    <row r="366" ht="15.75" customHeight="1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"/>
      <c r="Y366" s="109"/>
      <c r="Z366" s="109"/>
      <c r="AA366" s="109"/>
      <c r="AB366" s="109"/>
      <c r="AC366" s="109"/>
      <c r="AD366" s="109"/>
      <c r="AE366" s="109"/>
      <c r="AF366" s="109"/>
      <c r="AG366" s="109"/>
      <c r="AH366" s="109"/>
      <c r="AI366" s="109"/>
      <c r="AJ366" s="109"/>
      <c r="AK366" s="109"/>
      <c r="AL366" s="109"/>
      <c r="AM366" s="109"/>
      <c r="AN366" s="109"/>
      <c r="AO366" s="109"/>
      <c r="AP366" s="109"/>
      <c r="AQ366" s="109"/>
      <c r="AR366" s="109"/>
      <c r="AS366" s="109"/>
      <c r="AT366" s="109"/>
      <c r="AU366" s="109"/>
      <c r="AV366" s="109"/>
      <c r="AW366" s="109"/>
      <c r="AX366" s="109"/>
    </row>
    <row r="367" ht="15.75" customHeight="1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"/>
      <c r="Y367" s="109"/>
      <c r="Z367" s="109"/>
      <c r="AA367" s="109"/>
      <c r="AB367" s="109"/>
      <c r="AC367" s="109"/>
      <c r="AD367" s="109"/>
      <c r="AE367" s="109"/>
      <c r="AF367" s="109"/>
      <c r="AG367" s="109"/>
      <c r="AH367" s="109"/>
      <c r="AI367" s="109"/>
      <c r="AJ367" s="109"/>
      <c r="AK367" s="109"/>
      <c r="AL367" s="109"/>
      <c r="AM367" s="109"/>
      <c r="AN367" s="109"/>
      <c r="AO367" s="109"/>
      <c r="AP367" s="109"/>
      <c r="AQ367" s="109"/>
      <c r="AR367" s="109"/>
      <c r="AS367" s="109"/>
      <c r="AT367" s="109"/>
      <c r="AU367" s="109"/>
      <c r="AV367" s="109"/>
      <c r="AW367" s="109"/>
      <c r="AX367" s="109"/>
    </row>
    <row r="368" ht="15.75" customHeight="1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"/>
      <c r="Y368" s="109"/>
      <c r="Z368" s="109"/>
      <c r="AA368" s="109"/>
      <c r="AB368" s="109"/>
      <c r="AC368" s="109"/>
      <c r="AD368" s="109"/>
      <c r="AE368" s="109"/>
      <c r="AF368" s="109"/>
      <c r="AG368" s="109"/>
      <c r="AH368" s="109"/>
      <c r="AI368" s="109"/>
      <c r="AJ368" s="109"/>
      <c r="AK368" s="109"/>
      <c r="AL368" s="109"/>
      <c r="AM368" s="109"/>
      <c r="AN368" s="109"/>
      <c r="AO368" s="109"/>
      <c r="AP368" s="109"/>
      <c r="AQ368" s="109"/>
      <c r="AR368" s="109"/>
      <c r="AS368" s="109"/>
      <c r="AT368" s="109"/>
      <c r="AU368" s="109"/>
      <c r="AV368" s="109"/>
      <c r="AW368" s="109"/>
      <c r="AX368" s="109"/>
    </row>
    <row r="369" ht="15.75" customHeight="1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"/>
      <c r="Y369" s="109"/>
      <c r="Z369" s="109"/>
      <c r="AA369" s="109"/>
      <c r="AB369" s="109"/>
      <c r="AC369" s="109"/>
      <c r="AD369" s="109"/>
      <c r="AE369" s="109"/>
      <c r="AF369" s="109"/>
      <c r="AG369" s="109"/>
      <c r="AH369" s="109"/>
      <c r="AI369" s="109"/>
      <c r="AJ369" s="109"/>
      <c r="AK369" s="109"/>
      <c r="AL369" s="109"/>
      <c r="AM369" s="109"/>
      <c r="AN369" s="109"/>
      <c r="AO369" s="109"/>
      <c r="AP369" s="109"/>
      <c r="AQ369" s="109"/>
      <c r="AR369" s="109"/>
      <c r="AS369" s="109"/>
      <c r="AT369" s="109"/>
      <c r="AU369" s="109"/>
      <c r="AV369" s="109"/>
      <c r="AW369" s="109"/>
      <c r="AX369" s="109"/>
    </row>
    <row r="370" ht="15.75" customHeight="1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"/>
      <c r="Y370" s="109"/>
      <c r="Z370" s="109"/>
      <c r="AA370" s="109"/>
      <c r="AB370" s="109"/>
      <c r="AC370" s="109"/>
      <c r="AD370" s="109"/>
      <c r="AE370" s="109"/>
      <c r="AF370" s="109"/>
      <c r="AG370" s="109"/>
      <c r="AH370" s="109"/>
      <c r="AI370" s="109"/>
      <c r="AJ370" s="109"/>
      <c r="AK370" s="109"/>
      <c r="AL370" s="109"/>
      <c r="AM370" s="109"/>
      <c r="AN370" s="109"/>
      <c r="AO370" s="109"/>
      <c r="AP370" s="109"/>
      <c r="AQ370" s="109"/>
      <c r="AR370" s="109"/>
      <c r="AS370" s="109"/>
      <c r="AT370" s="109"/>
      <c r="AU370" s="109"/>
      <c r="AV370" s="109"/>
      <c r="AW370" s="109"/>
      <c r="AX370" s="109"/>
    </row>
    <row r="371" ht="15.75" customHeight="1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"/>
      <c r="Y371" s="109"/>
      <c r="Z371" s="109"/>
      <c r="AA371" s="109"/>
      <c r="AB371" s="109"/>
      <c r="AC371" s="109"/>
      <c r="AD371" s="109"/>
      <c r="AE371" s="109"/>
      <c r="AF371" s="109"/>
      <c r="AG371" s="109"/>
      <c r="AH371" s="109"/>
      <c r="AI371" s="109"/>
      <c r="AJ371" s="109"/>
      <c r="AK371" s="109"/>
      <c r="AL371" s="109"/>
      <c r="AM371" s="109"/>
      <c r="AN371" s="109"/>
      <c r="AO371" s="109"/>
      <c r="AP371" s="109"/>
      <c r="AQ371" s="109"/>
      <c r="AR371" s="109"/>
      <c r="AS371" s="109"/>
      <c r="AT371" s="109"/>
      <c r="AU371" s="109"/>
      <c r="AV371" s="109"/>
      <c r="AW371" s="109"/>
      <c r="AX371" s="109"/>
    </row>
    <row r="372" ht="15.75" customHeight="1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09"/>
      <c r="AJ372" s="109"/>
      <c r="AK372" s="109"/>
      <c r="AL372" s="109"/>
      <c r="AM372" s="109"/>
      <c r="AN372" s="109"/>
      <c r="AO372" s="109"/>
      <c r="AP372" s="109"/>
      <c r="AQ372" s="109"/>
      <c r="AR372" s="109"/>
      <c r="AS372" s="109"/>
      <c r="AT372" s="109"/>
      <c r="AU372" s="109"/>
      <c r="AV372" s="109"/>
      <c r="AW372" s="109"/>
      <c r="AX372" s="109"/>
    </row>
    <row r="373" ht="15.75" customHeight="1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"/>
      <c r="Y373" s="109"/>
      <c r="Z373" s="109"/>
      <c r="AA373" s="109"/>
      <c r="AB373" s="109"/>
      <c r="AC373" s="109"/>
      <c r="AD373" s="109"/>
      <c r="AE373" s="109"/>
      <c r="AF373" s="109"/>
      <c r="AG373" s="109"/>
      <c r="AH373" s="109"/>
      <c r="AI373" s="109"/>
      <c r="AJ373" s="109"/>
      <c r="AK373" s="109"/>
      <c r="AL373" s="109"/>
      <c r="AM373" s="109"/>
      <c r="AN373" s="109"/>
      <c r="AO373" s="109"/>
      <c r="AP373" s="109"/>
      <c r="AQ373" s="109"/>
      <c r="AR373" s="109"/>
      <c r="AS373" s="109"/>
      <c r="AT373" s="109"/>
      <c r="AU373" s="109"/>
      <c r="AV373" s="109"/>
      <c r="AW373" s="109"/>
      <c r="AX373" s="109"/>
    </row>
    <row r="374" ht="15.75" customHeight="1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"/>
      <c r="Y374" s="109"/>
      <c r="Z374" s="109"/>
      <c r="AA374" s="109"/>
      <c r="AB374" s="109"/>
      <c r="AC374" s="109"/>
      <c r="AD374" s="109"/>
      <c r="AE374" s="109"/>
      <c r="AF374" s="109"/>
      <c r="AG374" s="109"/>
      <c r="AH374" s="109"/>
      <c r="AI374" s="109"/>
      <c r="AJ374" s="109"/>
      <c r="AK374" s="109"/>
      <c r="AL374" s="109"/>
      <c r="AM374" s="109"/>
      <c r="AN374" s="109"/>
      <c r="AO374" s="109"/>
      <c r="AP374" s="109"/>
      <c r="AQ374" s="109"/>
      <c r="AR374" s="109"/>
      <c r="AS374" s="109"/>
      <c r="AT374" s="109"/>
      <c r="AU374" s="109"/>
      <c r="AV374" s="109"/>
      <c r="AW374" s="109"/>
      <c r="AX374" s="109"/>
    </row>
    <row r="375" ht="15.75" customHeight="1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"/>
      <c r="Y375" s="109"/>
      <c r="Z375" s="109"/>
      <c r="AA375" s="109"/>
      <c r="AB375" s="109"/>
      <c r="AC375" s="109"/>
      <c r="AD375" s="109"/>
      <c r="AE375" s="109"/>
      <c r="AF375" s="109"/>
      <c r="AG375" s="109"/>
      <c r="AH375" s="109"/>
      <c r="AI375" s="109"/>
      <c r="AJ375" s="109"/>
      <c r="AK375" s="109"/>
      <c r="AL375" s="109"/>
      <c r="AM375" s="109"/>
      <c r="AN375" s="109"/>
      <c r="AO375" s="109"/>
      <c r="AP375" s="109"/>
      <c r="AQ375" s="109"/>
      <c r="AR375" s="109"/>
      <c r="AS375" s="109"/>
      <c r="AT375" s="109"/>
      <c r="AU375" s="109"/>
      <c r="AV375" s="109"/>
      <c r="AW375" s="109"/>
      <c r="AX375" s="109"/>
    </row>
    <row r="376" ht="15.75" customHeight="1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"/>
      <c r="Y376" s="109"/>
      <c r="Z376" s="109"/>
      <c r="AA376" s="109"/>
      <c r="AB376" s="109"/>
      <c r="AC376" s="109"/>
      <c r="AD376" s="109"/>
      <c r="AE376" s="109"/>
      <c r="AF376" s="109"/>
      <c r="AG376" s="109"/>
      <c r="AH376" s="109"/>
      <c r="AI376" s="109"/>
      <c r="AJ376" s="109"/>
      <c r="AK376" s="109"/>
      <c r="AL376" s="109"/>
      <c r="AM376" s="109"/>
      <c r="AN376" s="109"/>
      <c r="AO376" s="109"/>
      <c r="AP376" s="109"/>
      <c r="AQ376" s="109"/>
      <c r="AR376" s="109"/>
      <c r="AS376" s="109"/>
      <c r="AT376" s="109"/>
      <c r="AU376" s="109"/>
      <c r="AV376" s="109"/>
      <c r="AW376" s="109"/>
      <c r="AX376" s="109"/>
    </row>
    <row r="377" ht="15.75" customHeight="1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"/>
      <c r="Y377" s="109"/>
      <c r="Z377" s="109"/>
      <c r="AA377" s="109"/>
      <c r="AB377" s="109"/>
      <c r="AC377" s="109"/>
      <c r="AD377" s="109"/>
      <c r="AE377" s="109"/>
      <c r="AF377" s="109"/>
      <c r="AG377" s="109"/>
      <c r="AH377" s="109"/>
      <c r="AI377" s="109"/>
      <c r="AJ377" s="109"/>
      <c r="AK377" s="109"/>
      <c r="AL377" s="109"/>
      <c r="AM377" s="109"/>
      <c r="AN377" s="109"/>
      <c r="AO377" s="109"/>
      <c r="AP377" s="109"/>
      <c r="AQ377" s="109"/>
      <c r="AR377" s="109"/>
      <c r="AS377" s="109"/>
      <c r="AT377" s="109"/>
      <c r="AU377" s="109"/>
      <c r="AV377" s="109"/>
      <c r="AW377" s="109"/>
      <c r="AX377" s="109"/>
    </row>
    <row r="378" ht="15.75" customHeight="1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"/>
      <c r="Y378" s="109"/>
      <c r="Z378" s="109"/>
      <c r="AA378" s="109"/>
      <c r="AB378" s="109"/>
      <c r="AC378" s="109"/>
      <c r="AD378" s="109"/>
      <c r="AE378" s="109"/>
      <c r="AF378" s="109"/>
      <c r="AG378" s="109"/>
      <c r="AH378" s="109"/>
      <c r="AI378" s="109"/>
      <c r="AJ378" s="109"/>
      <c r="AK378" s="109"/>
      <c r="AL378" s="109"/>
      <c r="AM378" s="109"/>
      <c r="AN378" s="109"/>
      <c r="AO378" s="109"/>
      <c r="AP378" s="109"/>
      <c r="AQ378" s="109"/>
      <c r="AR378" s="109"/>
      <c r="AS378" s="109"/>
      <c r="AT378" s="109"/>
      <c r="AU378" s="109"/>
      <c r="AV378" s="109"/>
      <c r="AW378" s="109"/>
      <c r="AX378" s="109"/>
    </row>
    <row r="379" ht="15.75" customHeight="1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"/>
      <c r="Y379" s="109"/>
      <c r="Z379" s="109"/>
      <c r="AA379" s="109"/>
      <c r="AB379" s="109"/>
      <c r="AC379" s="109"/>
      <c r="AD379" s="109"/>
      <c r="AE379" s="109"/>
      <c r="AF379" s="109"/>
      <c r="AG379" s="109"/>
      <c r="AH379" s="109"/>
      <c r="AI379" s="109"/>
      <c r="AJ379" s="109"/>
      <c r="AK379" s="109"/>
      <c r="AL379" s="109"/>
      <c r="AM379" s="109"/>
      <c r="AN379" s="109"/>
      <c r="AO379" s="109"/>
      <c r="AP379" s="109"/>
      <c r="AQ379" s="109"/>
      <c r="AR379" s="109"/>
      <c r="AS379" s="109"/>
      <c r="AT379" s="109"/>
      <c r="AU379" s="109"/>
      <c r="AV379" s="109"/>
      <c r="AW379" s="109"/>
      <c r="AX379" s="109"/>
    </row>
    <row r="380" ht="15.75" customHeight="1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"/>
      <c r="Y380" s="109"/>
      <c r="Z380" s="109"/>
      <c r="AA380" s="109"/>
      <c r="AB380" s="109"/>
      <c r="AC380" s="109"/>
      <c r="AD380" s="109"/>
      <c r="AE380" s="109"/>
      <c r="AF380" s="109"/>
      <c r="AG380" s="109"/>
      <c r="AH380" s="109"/>
      <c r="AI380" s="109"/>
      <c r="AJ380" s="109"/>
      <c r="AK380" s="109"/>
      <c r="AL380" s="109"/>
      <c r="AM380" s="109"/>
      <c r="AN380" s="109"/>
      <c r="AO380" s="109"/>
      <c r="AP380" s="109"/>
      <c r="AQ380" s="109"/>
      <c r="AR380" s="109"/>
      <c r="AS380" s="109"/>
      <c r="AT380" s="109"/>
      <c r="AU380" s="109"/>
      <c r="AV380" s="109"/>
      <c r="AW380" s="109"/>
      <c r="AX380" s="109"/>
    </row>
    <row r="381" ht="15.75" customHeight="1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"/>
      <c r="Y381" s="109"/>
      <c r="Z381" s="109"/>
      <c r="AA381" s="109"/>
      <c r="AB381" s="109"/>
      <c r="AC381" s="109"/>
      <c r="AD381" s="109"/>
      <c r="AE381" s="109"/>
      <c r="AF381" s="109"/>
      <c r="AG381" s="109"/>
      <c r="AH381" s="109"/>
      <c r="AI381" s="109"/>
      <c r="AJ381" s="109"/>
      <c r="AK381" s="109"/>
      <c r="AL381" s="109"/>
      <c r="AM381" s="109"/>
      <c r="AN381" s="109"/>
      <c r="AO381" s="109"/>
      <c r="AP381" s="109"/>
      <c r="AQ381" s="109"/>
      <c r="AR381" s="109"/>
      <c r="AS381" s="109"/>
      <c r="AT381" s="109"/>
      <c r="AU381" s="109"/>
      <c r="AV381" s="109"/>
      <c r="AW381" s="109"/>
      <c r="AX381" s="109"/>
    </row>
    <row r="382" ht="15.75" customHeight="1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"/>
      <c r="Y382" s="109"/>
      <c r="Z382" s="109"/>
      <c r="AA382" s="109"/>
      <c r="AB382" s="109"/>
      <c r="AC382" s="109"/>
      <c r="AD382" s="109"/>
      <c r="AE382" s="109"/>
      <c r="AF382" s="109"/>
      <c r="AG382" s="109"/>
      <c r="AH382" s="109"/>
      <c r="AI382" s="109"/>
      <c r="AJ382" s="109"/>
      <c r="AK382" s="109"/>
      <c r="AL382" s="109"/>
      <c r="AM382" s="109"/>
      <c r="AN382" s="109"/>
      <c r="AO382" s="109"/>
      <c r="AP382" s="109"/>
      <c r="AQ382" s="109"/>
      <c r="AR382" s="109"/>
      <c r="AS382" s="109"/>
      <c r="AT382" s="109"/>
      <c r="AU382" s="109"/>
      <c r="AV382" s="109"/>
      <c r="AW382" s="109"/>
      <c r="AX382" s="109"/>
    </row>
    <row r="383" ht="15.75" customHeight="1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"/>
      <c r="Y383" s="109"/>
      <c r="Z383" s="109"/>
      <c r="AA383" s="109"/>
      <c r="AB383" s="109"/>
      <c r="AC383" s="109"/>
      <c r="AD383" s="109"/>
      <c r="AE383" s="109"/>
      <c r="AF383" s="109"/>
      <c r="AG383" s="109"/>
      <c r="AH383" s="109"/>
      <c r="AI383" s="109"/>
      <c r="AJ383" s="109"/>
      <c r="AK383" s="109"/>
      <c r="AL383" s="109"/>
      <c r="AM383" s="109"/>
      <c r="AN383" s="109"/>
      <c r="AO383" s="109"/>
      <c r="AP383" s="109"/>
      <c r="AQ383" s="109"/>
      <c r="AR383" s="109"/>
      <c r="AS383" s="109"/>
      <c r="AT383" s="109"/>
      <c r="AU383" s="109"/>
      <c r="AV383" s="109"/>
      <c r="AW383" s="109"/>
      <c r="AX383" s="109"/>
    </row>
    <row r="384" ht="15.75" customHeight="1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"/>
      <c r="Y384" s="109"/>
      <c r="Z384" s="109"/>
      <c r="AA384" s="109"/>
      <c r="AB384" s="109"/>
      <c r="AC384" s="109"/>
      <c r="AD384" s="109"/>
      <c r="AE384" s="109"/>
      <c r="AF384" s="109"/>
      <c r="AG384" s="109"/>
      <c r="AH384" s="109"/>
      <c r="AI384" s="109"/>
      <c r="AJ384" s="109"/>
      <c r="AK384" s="109"/>
      <c r="AL384" s="109"/>
      <c r="AM384" s="109"/>
      <c r="AN384" s="109"/>
      <c r="AO384" s="109"/>
      <c r="AP384" s="109"/>
      <c r="AQ384" s="109"/>
      <c r="AR384" s="109"/>
      <c r="AS384" s="109"/>
      <c r="AT384" s="109"/>
      <c r="AU384" s="109"/>
      <c r="AV384" s="109"/>
      <c r="AW384" s="109"/>
      <c r="AX384" s="109"/>
    </row>
    <row r="385" ht="15.75" customHeight="1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"/>
      <c r="Y385" s="109"/>
      <c r="Z385" s="109"/>
      <c r="AA385" s="109"/>
      <c r="AB385" s="109"/>
      <c r="AC385" s="109"/>
      <c r="AD385" s="109"/>
      <c r="AE385" s="109"/>
      <c r="AF385" s="109"/>
      <c r="AG385" s="109"/>
      <c r="AH385" s="109"/>
      <c r="AI385" s="109"/>
      <c r="AJ385" s="109"/>
      <c r="AK385" s="109"/>
      <c r="AL385" s="109"/>
      <c r="AM385" s="109"/>
      <c r="AN385" s="109"/>
      <c r="AO385" s="109"/>
      <c r="AP385" s="109"/>
      <c r="AQ385" s="109"/>
      <c r="AR385" s="109"/>
      <c r="AS385" s="109"/>
      <c r="AT385" s="109"/>
      <c r="AU385" s="109"/>
      <c r="AV385" s="109"/>
      <c r="AW385" s="109"/>
      <c r="AX385" s="109"/>
    </row>
    <row r="386" ht="15.75" customHeight="1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"/>
      <c r="Y386" s="109"/>
      <c r="Z386" s="109"/>
      <c r="AA386" s="109"/>
      <c r="AB386" s="109"/>
      <c r="AC386" s="109"/>
      <c r="AD386" s="109"/>
      <c r="AE386" s="109"/>
      <c r="AF386" s="109"/>
      <c r="AG386" s="109"/>
      <c r="AH386" s="109"/>
      <c r="AI386" s="109"/>
      <c r="AJ386" s="109"/>
      <c r="AK386" s="109"/>
      <c r="AL386" s="109"/>
      <c r="AM386" s="109"/>
      <c r="AN386" s="109"/>
      <c r="AO386" s="109"/>
      <c r="AP386" s="109"/>
      <c r="AQ386" s="109"/>
      <c r="AR386" s="109"/>
      <c r="AS386" s="109"/>
      <c r="AT386" s="109"/>
      <c r="AU386" s="109"/>
      <c r="AV386" s="109"/>
      <c r="AW386" s="109"/>
      <c r="AX386" s="109"/>
    </row>
    <row r="387" ht="15.75" customHeight="1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"/>
      <c r="Y387" s="109"/>
      <c r="Z387" s="109"/>
      <c r="AA387" s="109"/>
      <c r="AB387" s="109"/>
      <c r="AC387" s="109"/>
      <c r="AD387" s="109"/>
      <c r="AE387" s="109"/>
      <c r="AF387" s="109"/>
      <c r="AG387" s="109"/>
      <c r="AH387" s="109"/>
      <c r="AI387" s="109"/>
      <c r="AJ387" s="109"/>
      <c r="AK387" s="109"/>
      <c r="AL387" s="109"/>
      <c r="AM387" s="109"/>
      <c r="AN387" s="109"/>
      <c r="AO387" s="109"/>
      <c r="AP387" s="109"/>
      <c r="AQ387" s="109"/>
      <c r="AR387" s="109"/>
      <c r="AS387" s="109"/>
      <c r="AT387" s="109"/>
      <c r="AU387" s="109"/>
      <c r="AV387" s="109"/>
      <c r="AW387" s="109"/>
      <c r="AX387" s="109"/>
    </row>
    <row r="388" ht="15.75" customHeight="1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"/>
      <c r="Y388" s="109"/>
      <c r="Z388" s="109"/>
      <c r="AA388" s="109"/>
      <c r="AB388" s="109"/>
      <c r="AC388" s="109"/>
      <c r="AD388" s="109"/>
      <c r="AE388" s="109"/>
      <c r="AF388" s="109"/>
      <c r="AG388" s="109"/>
      <c r="AH388" s="109"/>
      <c r="AI388" s="109"/>
      <c r="AJ388" s="109"/>
      <c r="AK388" s="109"/>
      <c r="AL388" s="109"/>
      <c r="AM388" s="109"/>
      <c r="AN388" s="109"/>
      <c r="AO388" s="109"/>
      <c r="AP388" s="109"/>
      <c r="AQ388" s="109"/>
      <c r="AR388" s="109"/>
      <c r="AS388" s="109"/>
      <c r="AT388" s="109"/>
      <c r="AU388" s="109"/>
      <c r="AV388" s="109"/>
      <c r="AW388" s="109"/>
      <c r="AX388" s="109"/>
    </row>
    <row r="389" ht="15.75" customHeight="1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"/>
      <c r="Y389" s="109"/>
      <c r="Z389" s="109"/>
      <c r="AA389" s="109"/>
      <c r="AB389" s="109"/>
      <c r="AC389" s="109"/>
      <c r="AD389" s="109"/>
      <c r="AE389" s="109"/>
      <c r="AF389" s="109"/>
      <c r="AG389" s="109"/>
      <c r="AH389" s="109"/>
      <c r="AI389" s="109"/>
      <c r="AJ389" s="109"/>
      <c r="AK389" s="109"/>
      <c r="AL389" s="109"/>
      <c r="AM389" s="109"/>
      <c r="AN389" s="109"/>
      <c r="AO389" s="109"/>
      <c r="AP389" s="109"/>
      <c r="AQ389" s="109"/>
      <c r="AR389" s="109"/>
      <c r="AS389" s="109"/>
      <c r="AT389" s="109"/>
      <c r="AU389" s="109"/>
      <c r="AV389" s="109"/>
      <c r="AW389" s="109"/>
      <c r="AX389" s="109"/>
    </row>
    <row r="390" ht="15.75" customHeight="1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"/>
      <c r="Y390" s="109"/>
      <c r="Z390" s="109"/>
      <c r="AA390" s="109"/>
      <c r="AB390" s="109"/>
      <c r="AC390" s="109"/>
      <c r="AD390" s="109"/>
      <c r="AE390" s="109"/>
      <c r="AF390" s="109"/>
      <c r="AG390" s="109"/>
      <c r="AH390" s="109"/>
      <c r="AI390" s="109"/>
      <c r="AJ390" s="109"/>
      <c r="AK390" s="109"/>
      <c r="AL390" s="109"/>
      <c r="AM390" s="109"/>
      <c r="AN390" s="109"/>
      <c r="AO390" s="109"/>
      <c r="AP390" s="109"/>
      <c r="AQ390" s="109"/>
      <c r="AR390" s="109"/>
      <c r="AS390" s="109"/>
      <c r="AT390" s="109"/>
      <c r="AU390" s="109"/>
      <c r="AV390" s="109"/>
      <c r="AW390" s="109"/>
      <c r="AX390" s="109"/>
    </row>
    <row r="391" ht="15.75" customHeight="1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"/>
      <c r="Y391" s="109"/>
      <c r="Z391" s="109"/>
      <c r="AA391" s="109"/>
      <c r="AB391" s="109"/>
      <c r="AC391" s="109"/>
      <c r="AD391" s="109"/>
      <c r="AE391" s="109"/>
      <c r="AF391" s="109"/>
      <c r="AG391" s="109"/>
      <c r="AH391" s="109"/>
      <c r="AI391" s="109"/>
      <c r="AJ391" s="109"/>
      <c r="AK391" s="109"/>
      <c r="AL391" s="109"/>
      <c r="AM391" s="109"/>
      <c r="AN391" s="109"/>
      <c r="AO391" s="109"/>
      <c r="AP391" s="109"/>
      <c r="AQ391" s="109"/>
      <c r="AR391" s="109"/>
      <c r="AS391" s="109"/>
      <c r="AT391" s="109"/>
      <c r="AU391" s="109"/>
      <c r="AV391" s="109"/>
      <c r="AW391" s="109"/>
      <c r="AX391" s="109"/>
    </row>
    <row r="392" ht="15.75" customHeight="1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"/>
      <c r="Y392" s="109"/>
      <c r="Z392" s="109"/>
      <c r="AA392" s="109"/>
      <c r="AB392" s="109"/>
      <c r="AC392" s="109"/>
      <c r="AD392" s="109"/>
      <c r="AE392" s="109"/>
      <c r="AF392" s="109"/>
      <c r="AG392" s="109"/>
      <c r="AH392" s="109"/>
      <c r="AI392" s="109"/>
      <c r="AJ392" s="109"/>
      <c r="AK392" s="109"/>
      <c r="AL392" s="109"/>
      <c r="AM392" s="109"/>
      <c r="AN392" s="109"/>
      <c r="AO392" s="109"/>
      <c r="AP392" s="109"/>
      <c r="AQ392" s="109"/>
      <c r="AR392" s="109"/>
      <c r="AS392" s="109"/>
      <c r="AT392" s="109"/>
      <c r="AU392" s="109"/>
      <c r="AV392" s="109"/>
      <c r="AW392" s="109"/>
      <c r="AX392" s="109"/>
    </row>
    <row r="393" ht="15.75" customHeight="1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"/>
      <c r="Y393" s="109"/>
      <c r="Z393" s="109"/>
      <c r="AA393" s="109"/>
      <c r="AB393" s="109"/>
      <c r="AC393" s="109"/>
      <c r="AD393" s="109"/>
      <c r="AE393" s="109"/>
      <c r="AF393" s="109"/>
      <c r="AG393" s="109"/>
      <c r="AH393" s="109"/>
      <c r="AI393" s="109"/>
      <c r="AJ393" s="109"/>
      <c r="AK393" s="109"/>
      <c r="AL393" s="109"/>
      <c r="AM393" s="109"/>
      <c r="AN393" s="109"/>
      <c r="AO393" s="109"/>
      <c r="AP393" s="109"/>
      <c r="AQ393" s="109"/>
      <c r="AR393" s="109"/>
      <c r="AS393" s="109"/>
      <c r="AT393" s="109"/>
      <c r="AU393" s="109"/>
      <c r="AV393" s="109"/>
      <c r="AW393" s="109"/>
      <c r="AX393" s="109"/>
    </row>
    <row r="394" ht="15.75" customHeight="1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"/>
      <c r="Y394" s="109"/>
      <c r="Z394" s="109"/>
      <c r="AA394" s="109"/>
      <c r="AB394" s="109"/>
      <c r="AC394" s="109"/>
      <c r="AD394" s="109"/>
      <c r="AE394" s="109"/>
      <c r="AF394" s="109"/>
      <c r="AG394" s="109"/>
      <c r="AH394" s="109"/>
      <c r="AI394" s="109"/>
      <c r="AJ394" s="109"/>
      <c r="AK394" s="109"/>
      <c r="AL394" s="109"/>
      <c r="AM394" s="109"/>
      <c r="AN394" s="109"/>
      <c r="AO394" s="109"/>
      <c r="AP394" s="109"/>
      <c r="AQ394" s="109"/>
      <c r="AR394" s="109"/>
      <c r="AS394" s="109"/>
      <c r="AT394" s="109"/>
      <c r="AU394" s="109"/>
      <c r="AV394" s="109"/>
      <c r="AW394" s="109"/>
      <c r="AX394" s="109"/>
    </row>
    <row r="395" ht="15.75" customHeight="1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09"/>
      <c r="AJ395" s="109"/>
      <c r="AK395" s="109"/>
      <c r="AL395" s="109"/>
      <c r="AM395" s="109"/>
      <c r="AN395" s="109"/>
      <c r="AO395" s="109"/>
      <c r="AP395" s="109"/>
      <c r="AQ395" s="109"/>
      <c r="AR395" s="109"/>
      <c r="AS395" s="109"/>
      <c r="AT395" s="109"/>
      <c r="AU395" s="109"/>
      <c r="AV395" s="109"/>
      <c r="AW395" s="109"/>
      <c r="AX395" s="109"/>
    </row>
    <row r="396" ht="15.75" customHeight="1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"/>
      <c r="Y396" s="109"/>
      <c r="Z396" s="109"/>
      <c r="AA396" s="109"/>
      <c r="AB396" s="109"/>
      <c r="AC396" s="109"/>
      <c r="AD396" s="109"/>
      <c r="AE396" s="109"/>
      <c r="AF396" s="109"/>
      <c r="AG396" s="109"/>
      <c r="AH396" s="109"/>
      <c r="AI396" s="109"/>
      <c r="AJ396" s="109"/>
      <c r="AK396" s="109"/>
      <c r="AL396" s="109"/>
      <c r="AM396" s="109"/>
      <c r="AN396" s="109"/>
      <c r="AO396" s="109"/>
      <c r="AP396" s="109"/>
      <c r="AQ396" s="109"/>
      <c r="AR396" s="109"/>
      <c r="AS396" s="109"/>
      <c r="AT396" s="109"/>
      <c r="AU396" s="109"/>
      <c r="AV396" s="109"/>
      <c r="AW396" s="109"/>
      <c r="AX396" s="109"/>
    </row>
    <row r="397" ht="15.75" customHeight="1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"/>
      <c r="Y397" s="109"/>
      <c r="Z397" s="109"/>
      <c r="AA397" s="109"/>
      <c r="AB397" s="109"/>
      <c r="AC397" s="109"/>
      <c r="AD397" s="109"/>
      <c r="AE397" s="109"/>
      <c r="AF397" s="109"/>
      <c r="AG397" s="109"/>
      <c r="AH397" s="109"/>
      <c r="AI397" s="109"/>
      <c r="AJ397" s="109"/>
      <c r="AK397" s="109"/>
      <c r="AL397" s="109"/>
      <c r="AM397" s="109"/>
      <c r="AN397" s="109"/>
      <c r="AO397" s="109"/>
      <c r="AP397" s="109"/>
      <c r="AQ397" s="109"/>
      <c r="AR397" s="109"/>
      <c r="AS397" s="109"/>
      <c r="AT397" s="109"/>
      <c r="AU397" s="109"/>
      <c r="AV397" s="109"/>
      <c r="AW397" s="109"/>
      <c r="AX397" s="109"/>
    </row>
    <row r="398" ht="15.75" customHeight="1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"/>
      <c r="Y398" s="109"/>
      <c r="Z398" s="109"/>
      <c r="AA398" s="109"/>
      <c r="AB398" s="109"/>
      <c r="AC398" s="109"/>
      <c r="AD398" s="109"/>
      <c r="AE398" s="109"/>
      <c r="AF398" s="109"/>
      <c r="AG398" s="109"/>
      <c r="AH398" s="109"/>
      <c r="AI398" s="109"/>
      <c r="AJ398" s="109"/>
      <c r="AK398" s="109"/>
      <c r="AL398" s="109"/>
      <c r="AM398" s="109"/>
      <c r="AN398" s="109"/>
      <c r="AO398" s="109"/>
      <c r="AP398" s="109"/>
      <c r="AQ398" s="109"/>
      <c r="AR398" s="109"/>
      <c r="AS398" s="109"/>
      <c r="AT398" s="109"/>
      <c r="AU398" s="109"/>
      <c r="AV398" s="109"/>
      <c r="AW398" s="109"/>
      <c r="AX398" s="109"/>
    </row>
    <row r="399" ht="15.75" customHeight="1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"/>
      <c r="Y399" s="109"/>
      <c r="Z399" s="109"/>
      <c r="AA399" s="109"/>
      <c r="AB399" s="109"/>
      <c r="AC399" s="109"/>
      <c r="AD399" s="109"/>
      <c r="AE399" s="109"/>
      <c r="AF399" s="109"/>
      <c r="AG399" s="109"/>
      <c r="AH399" s="109"/>
      <c r="AI399" s="109"/>
      <c r="AJ399" s="109"/>
      <c r="AK399" s="109"/>
      <c r="AL399" s="109"/>
      <c r="AM399" s="109"/>
      <c r="AN399" s="109"/>
      <c r="AO399" s="109"/>
      <c r="AP399" s="109"/>
      <c r="AQ399" s="109"/>
      <c r="AR399" s="109"/>
      <c r="AS399" s="109"/>
      <c r="AT399" s="109"/>
      <c r="AU399" s="109"/>
      <c r="AV399" s="109"/>
      <c r="AW399" s="109"/>
      <c r="AX399" s="109"/>
    </row>
    <row r="400" ht="15.75" customHeight="1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"/>
      <c r="Y400" s="109"/>
      <c r="Z400" s="109"/>
      <c r="AA400" s="109"/>
      <c r="AB400" s="109"/>
      <c r="AC400" s="109"/>
      <c r="AD400" s="109"/>
      <c r="AE400" s="109"/>
      <c r="AF400" s="109"/>
      <c r="AG400" s="109"/>
      <c r="AH400" s="109"/>
      <c r="AI400" s="109"/>
      <c r="AJ400" s="109"/>
      <c r="AK400" s="109"/>
      <c r="AL400" s="109"/>
      <c r="AM400" s="109"/>
      <c r="AN400" s="109"/>
      <c r="AO400" s="109"/>
      <c r="AP400" s="109"/>
      <c r="AQ400" s="109"/>
      <c r="AR400" s="109"/>
      <c r="AS400" s="109"/>
      <c r="AT400" s="109"/>
      <c r="AU400" s="109"/>
      <c r="AV400" s="109"/>
      <c r="AW400" s="109"/>
      <c r="AX400" s="109"/>
    </row>
    <row r="401" ht="15.75" customHeight="1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"/>
      <c r="Y401" s="109"/>
      <c r="Z401" s="109"/>
      <c r="AA401" s="109"/>
      <c r="AB401" s="109"/>
      <c r="AC401" s="109"/>
      <c r="AD401" s="109"/>
      <c r="AE401" s="109"/>
      <c r="AF401" s="109"/>
      <c r="AG401" s="109"/>
      <c r="AH401" s="109"/>
      <c r="AI401" s="109"/>
      <c r="AJ401" s="109"/>
      <c r="AK401" s="109"/>
      <c r="AL401" s="109"/>
      <c r="AM401" s="109"/>
      <c r="AN401" s="109"/>
      <c r="AO401" s="109"/>
      <c r="AP401" s="109"/>
      <c r="AQ401" s="109"/>
      <c r="AR401" s="109"/>
      <c r="AS401" s="109"/>
      <c r="AT401" s="109"/>
      <c r="AU401" s="109"/>
      <c r="AV401" s="109"/>
      <c r="AW401" s="109"/>
      <c r="AX401" s="109"/>
    </row>
    <row r="402" ht="15.75" customHeight="1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"/>
      <c r="Y402" s="109"/>
      <c r="Z402" s="109"/>
      <c r="AA402" s="109"/>
      <c r="AB402" s="109"/>
      <c r="AC402" s="109"/>
      <c r="AD402" s="109"/>
      <c r="AE402" s="109"/>
      <c r="AF402" s="109"/>
      <c r="AG402" s="109"/>
      <c r="AH402" s="109"/>
      <c r="AI402" s="109"/>
      <c r="AJ402" s="109"/>
      <c r="AK402" s="109"/>
      <c r="AL402" s="109"/>
      <c r="AM402" s="109"/>
      <c r="AN402" s="109"/>
      <c r="AO402" s="109"/>
      <c r="AP402" s="109"/>
      <c r="AQ402" s="109"/>
      <c r="AR402" s="109"/>
      <c r="AS402" s="109"/>
      <c r="AT402" s="109"/>
      <c r="AU402" s="109"/>
      <c r="AV402" s="109"/>
      <c r="AW402" s="109"/>
      <c r="AX402" s="109"/>
    </row>
    <row r="403" ht="15.75" customHeight="1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"/>
      <c r="Y403" s="109"/>
      <c r="Z403" s="109"/>
      <c r="AA403" s="109"/>
      <c r="AB403" s="109"/>
      <c r="AC403" s="109"/>
      <c r="AD403" s="109"/>
      <c r="AE403" s="109"/>
      <c r="AF403" s="109"/>
      <c r="AG403" s="109"/>
      <c r="AH403" s="109"/>
      <c r="AI403" s="109"/>
      <c r="AJ403" s="109"/>
      <c r="AK403" s="109"/>
      <c r="AL403" s="109"/>
      <c r="AM403" s="109"/>
      <c r="AN403" s="109"/>
      <c r="AO403" s="109"/>
      <c r="AP403" s="109"/>
      <c r="AQ403" s="109"/>
      <c r="AR403" s="109"/>
      <c r="AS403" s="109"/>
      <c r="AT403" s="109"/>
      <c r="AU403" s="109"/>
      <c r="AV403" s="109"/>
      <c r="AW403" s="109"/>
      <c r="AX403" s="109"/>
    </row>
    <row r="404" ht="15.75" customHeight="1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"/>
      <c r="Y404" s="109"/>
      <c r="Z404" s="109"/>
      <c r="AA404" s="109"/>
      <c r="AB404" s="109"/>
      <c r="AC404" s="109"/>
      <c r="AD404" s="109"/>
      <c r="AE404" s="109"/>
      <c r="AF404" s="109"/>
      <c r="AG404" s="109"/>
      <c r="AH404" s="109"/>
      <c r="AI404" s="109"/>
      <c r="AJ404" s="109"/>
      <c r="AK404" s="109"/>
      <c r="AL404" s="109"/>
      <c r="AM404" s="109"/>
      <c r="AN404" s="109"/>
      <c r="AO404" s="109"/>
      <c r="AP404" s="109"/>
      <c r="AQ404" s="109"/>
      <c r="AR404" s="109"/>
      <c r="AS404" s="109"/>
      <c r="AT404" s="109"/>
      <c r="AU404" s="109"/>
      <c r="AV404" s="109"/>
      <c r="AW404" s="109"/>
      <c r="AX404" s="109"/>
    </row>
    <row r="405" ht="15.75" customHeight="1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"/>
      <c r="Y405" s="109"/>
      <c r="Z405" s="109"/>
      <c r="AA405" s="109"/>
      <c r="AB405" s="109"/>
      <c r="AC405" s="109"/>
      <c r="AD405" s="109"/>
      <c r="AE405" s="109"/>
      <c r="AF405" s="109"/>
      <c r="AG405" s="109"/>
      <c r="AH405" s="109"/>
      <c r="AI405" s="109"/>
      <c r="AJ405" s="109"/>
      <c r="AK405" s="109"/>
      <c r="AL405" s="109"/>
      <c r="AM405" s="109"/>
      <c r="AN405" s="109"/>
      <c r="AO405" s="109"/>
      <c r="AP405" s="109"/>
      <c r="AQ405" s="109"/>
      <c r="AR405" s="109"/>
      <c r="AS405" s="109"/>
      <c r="AT405" s="109"/>
      <c r="AU405" s="109"/>
      <c r="AV405" s="109"/>
      <c r="AW405" s="109"/>
      <c r="AX405" s="109"/>
    </row>
    <row r="406" ht="15.75" customHeight="1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"/>
      <c r="Y406" s="109"/>
      <c r="Z406" s="109"/>
      <c r="AA406" s="109"/>
      <c r="AB406" s="109"/>
      <c r="AC406" s="109"/>
      <c r="AD406" s="109"/>
      <c r="AE406" s="109"/>
      <c r="AF406" s="109"/>
      <c r="AG406" s="109"/>
      <c r="AH406" s="109"/>
      <c r="AI406" s="109"/>
      <c r="AJ406" s="109"/>
      <c r="AK406" s="109"/>
      <c r="AL406" s="109"/>
      <c r="AM406" s="109"/>
      <c r="AN406" s="109"/>
      <c r="AO406" s="109"/>
      <c r="AP406" s="109"/>
      <c r="AQ406" s="109"/>
      <c r="AR406" s="109"/>
      <c r="AS406" s="109"/>
      <c r="AT406" s="109"/>
      <c r="AU406" s="109"/>
      <c r="AV406" s="109"/>
      <c r="AW406" s="109"/>
      <c r="AX406" s="109"/>
    </row>
    <row r="407" ht="15.75" customHeight="1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"/>
      <c r="Y407" s="109"/>
      <c r="Z407" s="109"/>
      <c r="AA407" s="109"/>
      <c r="AB407" s="109"/>
      <c r="AC407" s="109"/>
      <c r="AD407" s="109"/>
      <c r="AE407" s="109"/>
      <c r="AF407" s="109"/>
      <c r="AG407" s="109"/>
      <c r="AH407" s="109"/>
      <c r="AI407" s="109"/>
      <c r="AJ407" s="109"/>
      <c r="AK407" s="109"/>
      <c r="AL407" s="109"/>
      <c r="AM407" s="109"/>
      <c r="AN407" s="109"/>
      <c r="AO407" s="109"/>
      <c r="AP407" s="109"/>
      <c r="AQ407" s="109"/>
      <c r="AR407" s="109"/>
      <c r="AS407" s="109"/>
      <c r="AT407" s="109"/>
      <c r="AU407" s="109"/>
      <c r="AV407" s="109"/>
      <c r="AW407" s="109"/>
      <c r="AX407" s="109"/>
    </row>
    <row r="408" ht="15.75" customHeight="1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"/>
      <c r="Y408" s="109"/>
      <c r="Z408" s="109"/>
      <c r="AA408" s="109"/>
      <c r="AB408" s="109"/>
      <c r="AC408" s="109"/>
      <c r="AD408" s="109"/>
      <c r="AE408" s="109"/>
      <c r="AF408" s="109"/>
      <c r="AG408" s="109"/>
      <c r="AH408" s="109"/>
      <c r="AI408" s="109"/>
      <c r="AJ408" s="109"/>
      <c r="AK408" s="109"/>
      <c r="AL408" s="109"/>
      <c r="AM408" s="109"/>
      <c r="AN408" s="109"/>
      <c r="AO408" s="109"/>
      <c r="AP408" s="109"/>
      <c r="AQ408" s="109"/>
      <c r="AR408" s="109"/>
      <c r="AS408" s="109"/>
      <c r="AT408" s="109"/>
      <c r="AU408" s="109"/>
      <c r="AV408" s="109"/>
      <c r="AW408" s="109"/>
      <c r="AX408" s="109"/>
    </row>
    <row r="409" ht="15.75" customHeight="1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"/>
      <c r="Y409" s="109"/>
      <c r="Z409" s="109"/>
      <c r="AA409" s="109"/>
      <c r="AB409" s="109"/>
      <c r="AC409" s="109"/>
      <c r="AD409" s="109"/>
      <c r="AE409" s="109"/>
      <c r="AF409" s="109"/>
      <c r="AG409" s="109"/>
      <c r="AH409" s="109"/>
      <c r="AI409" s="109"/>
      <c r="AJ409" s="109"/>
      <c r="AK409" s="109"/>
      <c r="AL409" s="109"/>
      <c r="AM409" s="109"/>
      <c r="AN409" s="109"/>
      <c r="AO409" s="109"/>
      <c r="AP409" s="109"/>
      <c r="AQ409" s="109"/>
      <c r="AR409" s="109"/>
      <c r="AS409" s="109"/>
      <c r="AT409" s="109"/>
      <c r="AU409" s="109"/>
      <c r="AV409" s="109"/>
      <c r="AW409" s="109"/>
      <c r="AX409" s="109"/>
    </row>
    <row r="410" ht="15.75" customHeight="1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"/>
      <c r="Y410" s="109"/>
      <c r="Z410" s="109"/>
      <c r="AA410" s="109"/>
      <c r="AB410" s="109"/>
      <c r="AC410" s="109"/>
      <c r="AD410" s="109"/>
      <c r="AE410" s="109"/>
      <c r="AF410" s="109"/>
      <c r="AG410" s="109"/>
      <c r="AH410" s="109"/>
      <c r="AI410" s="109"/>
      <c r="AJ410" s="109"/>
      <c r="AK410" s="109"/>
      <c r="AL410" s="109"/>
      <c r="AM410" s="109"/>
      <c r="AN410" s="109"/>
      <c r="AO410" s="109"/>
      <c r="AP410" s="109"/>
      <c r="AQ410" s="109"/>
      <c r="AR410" s="109"/>
      <c r="AS410" s="109"/>
      <c r="AT410" s="109"/>
      <c r="AU410" s="109"/>
      <c r="AV410" s="109"/>
      <c r="AW410" s="109"/>
      <c r="AX410" s="109"/>
    </row>
    <row r="411" ht="15.75" customHeight="1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"/>
      <c r="Y411" s="109"/>
      <c r="Z411" s="109"/>
      <c r="AA411" s="109"/>
      <c r="AB411" s="109"/>
      <c r="AC411" s="109"/>
      <c r="AD411" s="109"/>
      <c r="AE411" s="109"/>
      <c r="AF411" s="109"/>
      <c r="AG411" s="109"/>
      <c r="AH411" s="109"/>
      <c r="AI411" s="109"/>
      <c r="AJ411" s="109"/>
      <c r="AK411" s="109"/>
      <c r="AL411" s="109"/>
      <c r="AM411" s="109"/>
      <c r="AN411" s="109"/>
      <c r="AO411" s="109"/>
      <c r="AP411" s="109"/>
      <c r="AQ411" s="109"/>
      <c r="AR411" s="109"/>
      <c r="AS411" s="109"/>
      <c r="AT411" s="109"/>
      <c r="AU411" s="109"/>
      <c r="AV411" s="109"/>
      <c r="AW411" s="109"/>
      <c r="AX411" s="109"/>
    </row>
    <row r="412" ht="15.75" customHeight="1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"/>
      <c r="Y412" s="109"/>
      <c r="Z412" s="109"/>
      <c r="AA412" s="109"/>
      <c r="AB412" s="109"/>
      <c r="AC412" s="109"/>
      <c r="AD412" s="109"/>
      <c r="AE412" s="109"/>
      <c r="AF412" s="109"/>
      <c r="AG412" s="109"/>
      <c r="AH412" s="109"/>
      <c r="AI412" s="109"/>
      <c r="AJ412" s="109"/>
      <c r="AK412" s="109"/>
      <c r="AL412" s="109"/>
      <c r="AM412" s="109"/>
      <c r="AN412" s="109"/>
      <c r="AO412" s="109"/>
      <c r="AP412" s="109"/>
      <c r="AQ412" s="109"/>
      <c r="AR412" s="109"/>
      <c r="AS412" s="109"/>
      <c r="AT412" s="109"/>
      <c r="AU412" s="109"/>
      <c r="AV412" s="109"/>
      <c r="AW412" s="109"/>
      <c r="AX412" s="109"/>
    </row>
    <row r="413" ht="15.75" customHeight="1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"/>
      <c r="Y413" s="109"/>
      <c r="Z413" s="109"/>
      <c r="AA413" s="109"/>
      <c r="AB413" s="109"/>
      <c r="AC413" s="109"/>
      <c r="AD413" s="109"/>
      <c r="AE413" s="109"/>
      <c r="AF413" s="109"/>
      <c r="AG413" s="109"/>
      <c r="AH413" s="109"/>
      <c r="AI413" s="109"/>
      <c r="AJ413" s="109"/>
      <c r="AK413" s="109"/>
      <c r="AL413" s="109"/>
      <c r="AM413" s="109"/>
      <c r="AN413" s="109"/>
      <c r="AO413" s="109"/>
      <c r="AP413" s="109"/>
      <c r="AQ413" s="109"/>
      <c r="AR413" s="109"/>
      <c r="AS413" s="109"/>
      <c r="AT413" s="109"/>
      <c r="AU413" s="109"/>
      <c r="AV413" s="109"/>
      <c r="AW413" s="109"/>
      <c r="AX413" s="109"/>
    </row>
    <row r="414" ht="15.75" customHeight="1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"/>
      <c r="Y414" s="109"/>
      <c r="Z414" s="109"/>
      <c r="AA414" s="109"/>
      <c r="AB414" s="109"/>
      <c r="AC414" s="109"/>
      <c r="AD414" s="109"/>
      <c r="AE414" s="109"/>
      <c r="AF414" s="109"/>
      <c r="AG414" s="109"/>
      <c r="AH414" s="109"/>
      <c r="AI414" s="109"/>
      <c r="AJ414" s="109"/>
      <c r="AK414" s="109"/>
      <c r="AL414" s="109"/>
      <c r="AM414" s="109"/>
      <c r="AN414" s="109"/>
      <c r="AO414" s="109"/>
      <c r="AP414" s="109"/>
      <c r="AQ414" s="109"/>
      <c r="AR414" s="109"/>
      <c r="AS414" s="109"/>
      <c r="AT414" s="109"/>
      <c r="AU414" s="109"/>
      <c r="AV414" s="109"/>
      <c r="AW414" s="109"/>
      <c r="AX414" s="109"/>
    </row>
    <row r="415" ht="15.75" customHeight="1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"/>
      <c r="Y415" s="109"/>
      <c r="Z415" s="109"/>
      <c r="AA415" s="109"/>
      <c r="AB415" s="109"/>
      <c r="AC415" s="109"/>
      <c r="AD415" s="109"/>
      <c r="AE415" s="109"/>
      <c r="AF415" s="109"/>
      <c r="AG415" s="109"/>
      <c r="AH415" s="109"/>
      <c r="AI415" s="109"/>
      <c r="AJ415" s="109"/>
      <c r="AK415" s="109"/>
      <c r="AL415" s="109"/>
      <c r="AM415" s="109"/>
      <c r="AN415" s="109"/>
      <c r="AO415" s="109"/>
      <c r="AP415" s="109"/>
      <c r="AQ415" s="109"/>
      <c r="AR415" s="109"/>
      <c r="AS415" s="109"/>
      <c r="AT415" s="109"/>
      <c r="AU415" s="109"/>
      <c r="AV415" s="109"/>
      <c r="AW415" s="109"/>
      <c r="AX415" s="109"/>
    </row>
    <row r="416" ht="15.75" customHeight="1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"/>
      <c r="Y416" s="109"/>
      <c r="Z416" s="109"/>
      <c r="AA416" s="109"/>
      <c r="AB416" s="109"/>
      <c r="AC416" s="109"/>
      <c r="AD416" s="109"/>
      <c r="AE416" s="109"/>
      <c r="AF416" s="109"/>
      <c r="AG416" s="109"/>
      <c r="AH416" s="109"/>
      <c r="AI416" s="109"/>
      <c r="AJ416" s="109"/>
      <c r="AK416" s="109"/>
      <c r="AL416" s="109"/>
      <c r="AM416" s="109"/>
      <c r="AN416" s="109"/>
      <c r="AO416" s="109"/>
      <c r="AP416" s="109"/>
      <c r="AQ416" s="109"/>
      <c r="AR416" s="109"/>
      <c r="AS416" s="109"/>
      <c r="AT416" s="109"/>
      <c r="AU416" s="109"/>
      <c r="AV416" s="109"/>
      <c r="AW416" s="109"/>
      <c r="AX416" s="109"/>
    </row>
    <row r="417" ht="15.75" customHeight="1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"/>
      <c r="Y417" s="109"/>
      <c r="Z417" s="109"/>
      <c r="AA417" s="109"/>
      <c r="AB417" s="109"/>
      <c r="AC417" s="109"/>
      <c r="AD417" s="109"/>
      <c r="AE417" s="109"/>
      <c r="AF417" s="109"/>
      <c r="AG417" s="109"/>
      <c r="AH417" s="109"/>
      <c r="AI417" s="109"/>
      <c r="AJ417" s="109"/>
      <c r="AK417" s="109"/>
      <c r="AL417" s="109"/>
      <c r="AM417" s="109"/>
      <c r="AN417" s="109"/>
      <c r="AO417" s="109"/>
      <c r="AP417" s="109"/>
      <c r="AQ417" s="109"/>
      <c r="AR417" s="109"/>
      <c r="AS417" s="109"/>
      <c r="AT417" s="109"/>
      <c r="AU417" s="109"/>
      <c r="AV417" s="109"/>
      <c r="AW417" s="109"/>
      <c r="AX417" s="109"/>
    </row>
    <row r="418" ht="15.75" customHeight="1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"/>
      <c r="Y418" s="109"/>
      <c r="Z418" s="109"/>
      <c r="AA418" s="109"/>
      <c r="AB418" s="109"/>
      <c r="AC418" s="109"/>
      <c r="AD418" s="109"/>
      <c r="AE418" s="109"/>
      <c r="AF418" s="109"/>
      <c r="AG418" s="109"/>
      <c r="AH418" s="109"/>
      <c r="AI418" s="109"/>
      <c r="AJ418" s="109"/>
      <c r="AK418" s="109"/>
      <c r="AL418" s="109"/>
      <c r="AM418" s="109"/>
      <c r="AN418" s="109"/>
      <c r="AO418" s="109"/>
      <c r="AP418" s="109"/>
      <c r="AQ418" s="109"/>
      <c r="AR418" s="109"/>
      <c r="AS418" s="109"/>
      <c r="AT418" s="109"/>
      <c r="AU418" s="109"/>
      <c r="AV418" s="109"/>
      <c r="AW418" s="109"/>
      <c r="AX418" s="109"/>
    </row>
    <row r="419" ht="15.75" customHeight="1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"/>
      <c r="Y419" s="109"/>
      <c r="Z419" s="109"/>
      <c r="AA419" s="109"/>
      <c r="AB419" s="109"/>
      <c r="AC419" s="109"/>
      <c r="AD419" s="109"/>
      <c r="AE419" s="109"/>
      <c r="AF419" s="109"/>
      <c r="AG419" s="109"/>
      <c r="AH419" s="109"/>
      <c r="AI419" s="109"/>
      <c r="AJ419" s="109"/>
      <c r="AK419" s="109"/>
      <c r="AL419" s="109"/>
      <c r="AM419" s="109"/>
      <c r="AN419" s="109"/>
      <c r="AO419" s="109"/>
      <c r="AP419" s="109"/>
      <c r="AQ419" s="109"/>
      <c r="AR419" s="109"/>
      <c r="AS419" s="109"/>
      <c r="AT419" s="109"/>
      <c r="AU419" s="109"/>
      <c r="AV419" s="109"/>
      <c r="AW419" s="109"/>
      <c r="AX419" s="109"/>
    </row>
    <row r="420" ht="15.75" customHeight="1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"/>
      <c r="Y420" s="109"/>
      <c r="Z420" s="109"/>
      <c r="AA420" s="109"/>
      <c r="AB420" s="109"/>
      <c r="AC420" s="109"/>
      <c r="AD420" s="109"/>
      <c r="AE420" s="109"/>
      <c r="AF420" s="109"/>
      <c r="AG420" s="109"/>
      <c r="AH420" s="109"/>
      <c r="AI420" s="109"/>
      <c r="AJ420" s="109"/>
      <c r="AK420" s="109"/>
      <c r="AL420" s="109"/>
      <c r="AM420" s="109"/>
      <c r="AN420" s="109"/>
      <c r="AO420" s="109"/>
      <c r="AP420" s="109"/>
      <c r="AQ420" s="109"/>
      <c r="AR420" s="109"/>
      <c r="AS420" s="109"/>
      <c r="AT420" s="109"/>
      <c r="AU420" s="109"/>
      <c r="AV420" s="109"/>
      <c r="AW420" s="109"/>
      <c r="AX420" s="109"/>
    </row>
    <row r="421" ht="15.75" customHeight="1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"/>
      <c r="Y421" s="109"/>
      <c r="Z421" s="109"/>
      <c r="AA421" s="109"/>
      <c r="AB421" s="109"/>
      <c r="AC421" s="109"/>
      <c r="AD421" s="109"/>
      <c r="AE421" s="109"/>
      <c r="AF421" s="109"/>
      <c r="AG421" s="109"/>
      <c r="AH421" s="109"/>
      <c r="AI421" s="109"/>
      <c r="AJ421" s="109"/>
      <c r="AK421" s="109"/>
      <c r="AL421" s="109"/>
      <c r="AM421" s="109"/>
      <c r="AN421" s="109"/>
      <c r="AO421" s="109"/>
      <c r="AP421" s="109"/>
      <c r="AQ421" s="109"/>
      <c r="AR421" s="109"/>
      <c r="AS421" s="109"/>
      <c r="AT421" s="109"/>
      <c r="AU421" s="109"/>
      <c r="AV421" s="109"/>
      <c r="AW421" s="109"/>
      <c r="AX421" s="109"/>
    </row>
    <row r="422" ht="15.75" customHeight="1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"/>
      <c r="Y422" s="109"/>
      <c r="Z422" s="109"/>
      <c r="AA422" s="109"/>
      <c r="AB422" s="109"/>
      <c r="AC422" s="109"/>
      <c r="AD422" s="109"/>
      <c r="AE422" s="109"/>
      <c r="AF422" s="109"/>
      <c r="AG422" s="109"/>
      <c r="AH422" s="109"/>
      <c r="AI422" s="109"/>
      <c r="AJ422" s="109"/>
      <c r="AK422" s="109"/>
      <c r="AL422" s="109"/>
      <c r="AM422" s="109"/>
      <c r="AN422" s="109"/>
      <c r="AO422" s="109"/>
      <c r="AP422" s="109"/>
      <c r="AQ422" s="109"/>
      <c r="AR422" s="109"/>
      <c r="AS422" s="109"/>
      <c r="AT422" s="109"/>
      <c r="AU422" s="109"/>
      <c r="AV422" s="109"/>
      <c r="AW422" s="109"/>
      <c r="AX422" s="109"/>
    </row>
    <row r="423" ht="15.75" customHeight="1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"/>
      <c r="Y423" s="109"/>
      <c r="Z423" s="109"/>
      <c r="AA423" s="109"/>
      <c r="AB423" s="109"/>
      <c r="AC423" s="109"/>
      <c r="AD423" s="109"/>
      <c r="AE423" s="109"/>
      <c r="AF423" s="109"/>
      <c r="AG423" s="109"/>
      <c r="AH423" s="109"/>
      <c r="AI423" s="109"/>
      <c r="AJ423" s="109"/>
      <c r="AK423" s="109"/>
      <c r="AL423" s="109"/>
      <c r="AM423" s="109"/>
      <c r="AN423" s="109"/>
      <c r="AO423" s="109"/>
      <c r="AP423" s="109"/>
      <c r="AQ423" s="109"/>
      <c r="AR423" s="109"/>
      <c r="AS423" s="109"/>
      <c r="AT423" s="109"/>
      <c r="AU423" s="109"/>
      <c r="AV423" s="109"/>
      <c r="AW423" s="109"/>
      <c r="AX423" s="109"/>
    </row>
    <row r="424" ht="15.75" customHeight="1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"/>
      <c r="Y424" s="109"/>
      <c r="Z424" s="109"/>
      <c r="AA424" s="109"/>
      <c r="AB424" s="109"/>
      <c r="AC424" s="109"/>
      <c r="AD424" s="109"/>
      <c r="AE424" s="109"/>
      <c r="AF424" s="109"/>
      <c r="AG424" s="109"/>
      <c r="AH424" s="109"/>
      <c r="AI424" s="109"/>
      <c r="AJ424" s="109"/>
      <c r="AK424" s="109"/>
      <c r="AL424" s="109"/>
      <c r="AM424" s="109"/>
      <c r="AN424" s="109"/>
      <c r="AO424" s="109"/>
      <c r="AP424" s="109"/>
      <c r="AQ424" s="109"/>
      <c r="AR424" s="109"/>
      <c r="AS424" s="109"/>
      <c r="AT424" s="109"/>
      <c r="AU424" s="109"/>
      <c r="AV424" s="109"/>
      <c r="AW424" s="109"/>
      <c r="AX424" s="109"/>
    </row>
    <row r="425" ht="15.75" customHeight="1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"/>
      <c r="Y425" s="109"/>
      <c r="Z425" s="109"/>
      <c r="AA425" s="109"/>
      <c r="AB425" s="109"/>
      <c r="AC425" s="109"/>
      <c r="AD425" s="109"/>
      <c r="AE425" s="109"/>
      <c r="AF425" s="109"/>
      <c r="AG425" s="109"/>
      <c r="AH425" s="109"/>
      <c r="AI425" s="109"/>
      <c r="AJ425" s="109"/>
      <c r="AK425" s="109"/>
      <c r="AL425" s="109"/>
      <c r="AM425" s="109"/>
      <c r="AN425" s="109"/>
      <c r="AO425" s="109"/>
      <c r="AP425" s="109"/>
      <c r="AQ425" s="109"/>
      <c r="AR425" s="109"/>
      <c r="AS425" s="109"/>
      <c r="AT425" s="109"/>
      <c r="AU425" s="109"/>
      <c r="AV425" s="109"/>
      <c r="AW425" s="109"/>
      <c r="AX425" s="109"/>
    </row>
    <row r="426" ht="15.75" customHeight="1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"/>
      <c r="Y426" s="109"/>
      <c r="Z426" s="109"/>
      <c r="AA426" s="109"/>
      <c r="AB426" s="109"/>
      <c r="AC426" s="109"/>
      <c r="AD426" s="109"/>
      <c r="AE426" s="109"/>
      <c r="AF426" s="109"/>
      <c r="AG426" s="109"/>
      <c r="AH426" s="109"/>
      <c r="AI426" s="109"/>
      <c r="AJ426" s="109"/>
      <c r="AK426" s="109"/>
      <c r="AL426" s="109"/>
      <c r="AM426" s="109"/>
      <c r="AN426" s="109"/>
      <c r="AO426" s="109"/>
      <c r="AP426" s="109"/>
      <c r="AQ426" s="109"/>
      <c r="AR426" s="109"/>
      <c r="AS426" s="109"/>
      <c r="AT426" s="109"/>
      <c r="AU426" s="109"/>
      <c r="AV426" s="109"/>
      <c r="AW426" s="109"/>
      <c r="AX426" s="109"/>
    </row>
    <row r="427" ht="15.75" customHeight="1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"/>
      <c r="Y427" s="109"/>
      <c r="Z427" s="109"/>
      <c r="AA427" s="109"/>
      <c r="AB427" s="109"/>
      <c r="AC427" s="109"/>
      <c r="AD427" s="109"/>
      <c r="AE427" s="109"/>
      <c r="AF427" s="109"/>
      <c r="AG427" s="109"/>
      <c r="AH427" s="109"/>
      <c r="AI427" s="109"/>
      <c r="AJ427" s="109"/>
      <c r="AK427" s="109"/>
      <c r="AL427" s="109"/>
      <c r="AM427" s="109"/>
      <c r="AN427" s="109"/>
      <c r="AO427" s="109"/>
      <c r="AP427" s="109"/>
      <c r="AQ427" s="109"/>
      <c r="AR427" s="109"/>
      <c r="AS427" s="109"/>
      <c r="AT427" s="109"/>
      <c r="AU427" s="109"/>
      <c r="AV427" s="109"/>
      <c r="AW427" s="109"/>
      <c r="AX427" s="109"/>
    </row>
    <row r="428" ht="15.75" customHeight="1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"/>
      <c r="Y428" s="109"/>
      <c r="Z428" s="109"/>
      <c r="AA428" s="109"/>
      <c r="AB428" s="109"/>
      <c r="AC428" s="109"/>
      <c r="AD428" s="109"/>
      <c r="AE428" s="109"/>
      <c r="AF428" s="109"/>
      <c r="AG428" s="109"/>
      <c r="AH428" s="109"/>
      <c r="AI428" s="109"/>
      <c r="AJ428" s="109"/>
      <c r="AK428" s="109"/>
      <c r="AL428" s="109"/>
      <c r="AM428" s="109"/>
      <c r="AN428" s="109"/>
      <c r="AO428" s="109"/>
      <c r="AP428" s="109"/>
      <c r="AQ428" s="109"/>
      <c r="AR428" s="109"/>
      <c r="AS428" s="109"/>
      <c r="AT428" s="109"/>
      <c r="AU428" s="109"/>
      <c r="AV428" s="109"/>
      <c r="AW428" s="109"/>
      <c r="AX428" s="109"/>
    </row>
    <row r="429" ht="15.75" customHeight="1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"/>
      <c r="Y429" s="109"/>
      <c r="Z429" s="109"/>
      <c r="AA429" s="109"/>
      <c r="AB429" s="109"/>
      <c r="AC429" s="109"/>
      <c r="AD429" s="109"/>
      <c r="AE429" s="109"/>
      <c r="AF429" s="109"/>
      <c r="AG429" s="109"/>
      <c r="AH429" s="109"/>
      <c r="AI429" s="109"/>
      <c r="AJ429" s="109"/>
      <c r="AK429" s="109"/>
      <c r="AL429" s="109"/>
      <c r="AM429" s="109"/>
      <c r="AN429" s="109"/>
      <c r="AO429" s="109"/>
      <c r="AP429" s="109"/>
      <c r="AQ429" s="109"/>
      <c r="AR429" s="109"/>
      <c r="AS429" s="109"/>
      <c r="AT429" s="109"/>
      <c r="AU429" s="109"/>
      <c r="AV429" s="109"/>
      <c r="AW429" s="109"/>
      <c r="AX429" s="109"/>
    </row>
    <row r="430" ht="15.75" customHeight="1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"/>
      <c r="Y430" s="109"/>
      <c r="Z430" s="109"/>
      <c r="AA430" s="109"/>
      <c r="AB430" s="109"/>
      <c r="AC430" s="109"/>
      <c r="AD430" s="109"/>
      <c r="AE430" s="109"/>
      <c r="AF430" s="109"/>
      <c r="AG430" s="109"/>
      <c r="AH430" s="109"/>
      <c r="AI430" s="109"/>
      <c r="AJ430" s="109"/>
      <c r="AK430" s="109"/>
      <c r="AL430" s="109"/>
      <c r="AM430" s="109"/>
      <c r="AN430" s="109"/>
      <c r="AO430" s="109"/>
      <c r="AP430" s="109"/>
      <c r="AQ430" s="109"/>
      <c r="AR430" s="109"/>
      <c r="AS430" s="109"/>
      <c r="AT430" s="109"/>
      <c r="AU430" s="109"/>
      <c r="AV430" s="109"/>
      <c r="AW430" s="109"/>
      <c r="AX430" s="109"/>
    </row>
    <row r="431" ht="15.75" customHeight="1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"/>
      <c r="Y431" s="109"/>
      <c r="Z431" s="109"/>
      <c r="AA431" s="109"/>
      <c r="AB431" s="109"/>
      <c r="AC431" s="109"/>
      <c r="AD431" s="109"/>
      <c r="AE431" s="109"/>
      <c r="AF431" s="109"/>
      <c r="AG431" s="109"/>
      <c r="AH431" s="109"/>
      <c r="AI431" s="109"/>
      <c r="AJ431" s="109"/>
      <c r="AK431" s="109"/>
      <c r="AL431" s="109"/>
      <c r="AM431" s="109"/>
      <c r="AN431" s="109"/>
      <c r="AO431" s="109"/>
      <c r="AP431" s="109"/>
      <c r="AQ431" s="109"/>
      <c r="AR431" s="109"/>
      <c r="AS431" s="109"/>
      <c r="AT431" s="109"/>
      <c r="AU431" s="109"/>
      <c r="AV431" s="109"/>
      <c r="AW431" s="109"/>
      <c r="AX431" s="109"/>
    </row>
    <row r="432" ht="15.75" customHeight="1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"/>
      <c r="Y432" s="109"/>
      <c r="Z432" s="109"/>
      <c r="AA432" s="109"/>
      <c r="AB432" s="109"/>
      <c r="AC432" s="109"/>
      <c r="AD432" s="109"/>
      <c r="AE432" s="109"/>
      <c r="AF432" s="109"/>
      <c r="AG432" s="109"/>
      <c r="AH432" s="109"/>
      <c r="AI432" s="109"/>
      <c r="AJ432" s="109"/>
      <c r="AK432" s="109"/>
      <c r="AL432" s="109"/>
      <c r="AM432" s="109"/>
      <c r="AN432" s="109"/>
      <c r="AO432" s="109"/>
      <c r="AP432" s="109"/>
      <c r="AQ432" s="109"/>
      <c r="AR432" s="109"/>
      <c r="AS432" s="109"/>
      <c r="AT432" s="109"/>
      <c r="AU432" s="109"/>
      <c r="AV432" s="109"/>
      <c r="AW432" s="109"/>
      <c r="AX432" s="109"/>
    </row>
    <row r="433" ht="15.75" customHeight="1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"/>
      <c r="Y433" s="109"/>
      <c r="Z433" s="109"/>
      <c r="AA433" s="109"/>
      <c r="AB433" s="109"/>
      <c r="AC433" s="109"/>
      <c r="AD433" s="109"/>
      <c r="AE433" s="109"/>
      <c r="AF433" s="109"/>
      <c r="AG433" s="109"/>
      <c r="AH433" s="109"/>
      <c r="AI433" s="109"/>
      <c r="AJ433" s="109"/>
      <c r="AK433" s="109"/>
      <c r="AL433" s="109"/>
      <c r="AM433" s="109"/>
      <c r="AN433" s="109"/>
      <c r="AO433" s="109"/>
      <c r="AP433" s="109"/>
      <c r="AQ433" s="109"/>
      <c r="AR433" s="109"/>
      <c r="AS433" s="109"/>
      <c r="AT433" s="109"/>
      <c r="AU433" s="109"/>
      <c r="AV433" s="109"/>
      <c r="AW433" s="109"/>
      <c r="AX433" s="109"/>
    </row>
    <row r="434" ht="15.75" customHeight="1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"/>
      <c r="Y434" s="109"/>
      <c r="Z434" s="109"/>
      <c r="AA434" s="109"/>
      <c r="AB434" s="109"/>
      <c r="AC434" s="109"/>
      <c r="AD434" s="109"/>
      <c r="AE434" s="109"/>
      <c r="AF434" s="109"/>
      <c r="AG434" s="109"/>
      <c r="AH434" s="109"/>
      <c r="AI434" s="109"/>
      <c r="AJ434" s="109"/>
      <c r="AK434" s="109"/>
      <c r="AL434" s="109"/>
      <c r="AM434" s="109"/>
      <c r="AN434" s="109"/>
      <c r="AO434" s="109"/>
      <c r="AP434" s="109"/>
      <c r="AQ434" s="109"/>
      <c r="AR434" s="109"/>
      <c r="AS434" s="109"/>
      <c r="AT434" s="109"/>
      <c r="AU434" s="109"/>
      <c r="AV434" s="109"/>
      <c r="AW434" s="109"/>
      <c r="AX434" s="109"/>
    </row>
    <row r="435" ht="15.75" customHeight="1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"/>
      <c r="Y435" s="109"/>
      <c r="Z435" s="109"/>
      <c r="AA435" s="109"/>
      <c r="AB435" s="109"/>
      <c r="AC435" s="109"/>
      <c r="AD435" s="109"/>
      <c r="AE435" s="109"/>
      <c r="AF435" s="109"/>
      <c r="AG435" s="109"/>
      <c r="AH435" s="109"/>
      <c r="AI435" s="109"/>
      <c r="AJ435" s="109"/>
      <c r="AK435" s="109"/>
      <c r="AL435" s="109"/>
      <c r="AM435" s="109"/>
      <c r="AN435" s="109"/>
      <c r="AO435" s="109"/>
      <c r="AP435" s="109"/>
      <c r="AQ435" s="109"/>
      <c r="AR435" s="109"/>
      <c r="AS435" s="109"/>
      <c r="AT435" s="109"/>
      <c r="AU435" s="109"/>
      <c r="AV435" s="109"/>
      <c r="AW435" s="109"/>
      <c r="AX435" s="109"/>
    </row>
    <row r="436" ht="15.75" customHeight="1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"/>
      <c r="Y436" s="109"/>
      <c r="Z436" s="109"/>
      <c r="AA436" s="109"/>
      <c r="AB436" s="109"/>
      <c r="AC436" s="109"/>
      <c r="AD436" s="109"/>
      <c r="AE436" s="109"/>
      <c r="AF436" s="109"/>
      <c r="AG436" s="109"/>
      <c r="AH436" s="109"/>
      <c r="AI436" s="109"/>
      <c r="AJ436" s="109"/>
      <c r="AK436" s="109"/>
      <c r="AL436" s="109"/>
      <c r="AM436" s="109"/>
      <c r="AN436" s="109"/>
      <c r="AO436" s="109"/>
      <c r="AP436" s="109"/>
      <c r="AQ436" s="109"/>
      <c r="AR436" s="109"/>
      <c r="AS436" s="109"/>
      <c r="AT436" s="109"/>
      <c r="AU436" s="109"/>
      <c r="AV436" s="109"/>
      <c r="AW436" s="109"/>
      <c r="AX436" s="109"/>
    </row>
    <row r="437" ht="15.75" customHeight="1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"/>
      <c r="Y437" s="109"/>
      <c r="Z437" s="109"/>
      <c r="AA437" s="109"/>
      <c r="AB437" s="109"/>
      <c r="AC437" s="109"/>
      <c r="AD437" s="109"/>
      <c r="AE437" s="109"/>
      <c r="AF437" s="109"/>
      <c r="AG437" s="109"/>
      <c r="AH437" s="109"/>
      <c r="AI437" s="109"/>
      <c r="AJ437" s="109"/>
      <c r="AK437" s="109"/>
      <c r="AL437" s="109"/>
      <c r="AM437" s="109"/>
      <c r="AN437" s="109"/>
      <c r="AO437" s="109"/>
      <c r="AP437" s="109"/>
      <c r="AQ437" s="109"/>
      <c r="AR437" s="109"/>
      <c r="AS437" s="109"/>
      <c r="AT437" s="109"/>
      <c r="AU437" s="109"/>
      <c r="AV437" s="109"/>
      <c r="AW437" s="109"/>
      <c r="AX437" s="109"/>
    </row>
    <row r="438" ht="15.75" customHeight="1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"/>
      <c r="Y438" s="109"/>
      <c r="Z438" s="109"/>
      <c r="AA438" s="109"/>
      <c r="AB438" s="109"/>
      <c r="AC438" s="109"/>
      <c r="AD438" s="109"/>
      <c r="AE438" s="109"/>
      <c r="AF438" s="109"/>
      <c r="AG438" s="109"/>
      <c r="AH438" s="109"/>
      <c r="AI438" s="109"/>
      <c r="AJ438" s="109"/>
      <c r="AK438" s="109"/>
      <c r="AL438" s="109"/>
      <c r="AM438" s="109"/>
      <c r="AN438" s="109"/>
      <c r="AO438" s="109"/>
      <c r="AP438" s="109"/>
      <c r="AQ438" s="109"/>
      <c r="AR438" s="109"/>
      <c r="AS438" s="109"/>
      <c r="AT438" s="109"/>
      <c r="AU438" s="109"/>
      <c r="AV438" s="109"/>
      <c r="AW438" s="109"/>
      <c r="AX438" s="109"/>
    </row>
    <row r="439" ht="15.75" customHeight="1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"/>
      <c r="Y439" s="109"/>
      <c r="Z439" s="109"/>
      <c r="AA439" s="109"/>
      <c r="AB439" s="109"/>
      <c r="AC439" s="109"/>
      <c r="AD439" s="109"/>
      <c r="AE439" s="109"/>
      <c r="AF439" s="109"/>
      <c r="AG439" s="109"/>
      <c r="AH439" s="109"/>
      <c r="AI439" s="109"/>
      <c r="AJ439" s="109"/>
      <c r="AK439" s="109"/>
      <c r="AL439" s="109"/>
      <c r="AM439" s="109"/>
      <c r="AN439" s="109"/>
      <c r="AO439" s="109"/>
      <c r="AP439" s="109"/>
      <c r="AQ439" s="109"/>
      <c r="AR439" s="109"/>
      <c r="AS439" s="109"/>
      <c r="AT439" s="109"/>
      <c r="AU439" s="109"/>
      <c r="AV439" s="109"/>
      <c r="AW439" s="109"/>
      <c r="AX439" s="109"/>
    </row>
    <row r="440" ht="15.75" customHeight="1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"/>
      <c r="Y440" s="109"/>
      <c r="Z440" s="109"/>
      <c r="AA440" s="109"/>
      <c r="AB440" s="109"/>
      <c r="AC440" s="109"/>
      <c r="AD440" s="109"/>
      <c r="AE440" s="109"/>
      <c r="AF440" s="109"/>
      <c r="AG440" s="109"/>
      <c r="AH440" s="109"/>
      <c r="AI440" s="109"/>
      <c r="AJ440" s="109"/>
      <c r="AK440" s="109"/>
      <c r="AL440" s="109"/>
      <c r="AM440" s="109"/>
      <c r="AN440" s="109"/>
      <c r="AO440" s="109"/>
      <c r="AP440" s="109"/>
      <c r="AQ440" s="109"/>
      <c r="AR440" s="109"/>
      <c r="AS440" s="109"/>
      <c r="AT440" s="109"/>
      <c r="AU440" s="109"/>
      <c r="AV440" s="109"/>
      <c r="AW440" s="109"/>
      <c r="AX440" s="109"/>
    </row>
    <row r="441" ht="15.75" customHeight="1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"/>
      <c r="Y441" s="109"/>
      <c r="Z441" s="109"/>
      <c r="AA441" s="109"/>
      <c r="AB441" s="109"/>
      <c r="AC441" s="109"/>
      <c r="AD441" s="109"/>
      <c r="AE441" s="109"/>
      <c r="AF441" s="109"/>
      <c r="AG441" s="109"/>
      <c r="AH441" s="109"/>
      <c r="AI441" s="109"/>
      <c r="AJ441" s="109"/>
      <c r="AK441" s="109"/>
      <c r="AL441" s="109"/>
      <c r="AM441" s="109"/>
      <c r="AN441" s="109"/>
      <c r="AO441" s="109"/>
      <c r="AP441" s="109"/>
      <c r="AQ441" s="109"/>
      <c r="AR441" s="109"/>
      <c r="AS441" s="109"/>
      <c r="AT441" s="109"/>
      <c r="AU441" s="109"/>
      <c r="AV441" s="109"/>
      <c r="AW441" s="109"/>
      <c r="AX441" s="109"/>
    </row>
    <row r="442" ht="15.75" customHeight="1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"/>
      <c r="Y442" s="109"/>
      <c r="Z442" s="109"/>
      <c r="AA442" s="109"/>
      <c r="AB442" s="109"/>
      <c r="AC442" s="109"/>
      <c r="AD442" s="109"/>
      <c r="AE442" s="109"/>
      <c r="AF442" s="109"/>
      <c r="AG442" s="109"/>
      <c r="AH442" s="109"/>
      <c r="AI442" s="109"/>
      <c r="AJ442" s="109"/>
      <c r="AK442" s="109"/>
      <c r="AL442" s="109"/>
      <c r="AM442" s="109"/>
      <c r="AN442" s="109"/>
      <c r="AO442" s="109"/>
      <c r="AP442" s="109"/>
      <c r="AQ442" s="109"/>
      <c r="AR442" s="109"/>
      <c r="AS442" s="109"/>
      <c r="AT442" s="109"/>
      <c r="AU442" s="109"/>
      <c r="AV442" s="109"/>
      <c r="AW442" s="109"/>
      <c r="AX442" s="109"/>
    </row>
    <row r="443" ht="15.75" customHeight="1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"/>
      <c r="Y443" s="109"/>
      <c r="Z443" s="109"/>
      <c r="AA443" s="109"/>
      <c r="AB443" s="109"/>
      <c r="AC443" s="109"/>
      <c r="AD443" s="109"/>
      <c r="AE443" s="109"/>
      <c r="AF443" s="109"/>
      <c r="AG443" s="109"/>
      <c r="AH443" s="109"/>
      <c r="AI443" s="109"/>
      <c r="AJ443" s="109"/>
      <c r="AK443" s="109"/>
      <c r="AL443" s="109"/>
      <c r="AM443" s="109"/>
      <c r="AN443" s="109"/>
      <c r="AO443" s="109"/>
      <c r="AP443" s="109"/>
      <c r="AQ443" s="109"/>
      <c r="AR443" s="109"/>
      <c r="AS443" s="109"/>
      <c r="AT443" s="109"/>
      <c r="AU443" s="109"/>
      <c r="AV443" s="109"/>
      <c r="AW443" s="109"/>
      <c r="AX443" s="109"/>
    </row>
    <row r="444" ht="15.75" customHeight="1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"/>
      <c r="Y444" s="109"/>
      <c r="Z444" s="109"/>
      <c r="AA444" s="109"/>
      <c r="AB444" s="109"/>
      <c r="AC444" s="109"/>
      <c r="AD444" s="109"/>
      <c r="AE444" s="109"/>
      <c r="AF444" s="109"/>
      <c r="AG444" s="109"/>
      <c r="AH444" s="109"/>
      <c r="AI444" s="109"/>
      <c r="AJ444" s="109"/>
      <c r="AK444" s="109"/>
      <c r="AL444" s="109"/>
      <c r="AM444" s="109"/>
      <c r="AN444" s="109"/>
      <c r="AO444" s="109"/>
      <c r="AP444" s="109"/>
      <c r="AQ444" s="109"/>
      <c r="AR444" s="109"/>
      <c r="AS444" s="109"/>
      <c r="AT444" s="109"/>
      <c r="AU444" s="109"/>
      <c r="AV444" s="109"/>
      <c r="AW444" s="109"/>
      <c r="AX444" s="109"/>
    </row>
    <row r="445" ht="15.75" customHeight="1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"/>
      <c r="Y445" s="109"/>
      <c r="Z445" s="109"/>
      <c r="AA445" s="109"/>
      <c r="AB445" s="109"/>
      <c r="AC445" s="109"/>
      <c r="AD445" s="109"/>
      <c r="AE445" s="109"/>
      <c r="AF445" s="109"/>
      <c r="AG445" s="109"/>
      <c r="AH445" s="109"/>
      <c r="AI445" s="109"/>
      <c r="AJ445" s="109"/>
      <c r="AK445" s="109"/>
      <c r="AL445" s="109"/>
      <c r="AM445" s="109"/>
      <c r="AN445" s="109"/>
      <c r="AO445" s="109"/>
      <c r="AP445" s="109"/>
      <c r="AQ445" s="109"/>
      <c r="AR445" s="109"/>
      <c r="AS445" s="109"/>
      <c r="AT445" s="109"/>
      <c r="AU445" s="109"/>
      <c r="AV445" s="109"/>
      <c r="AW445" s="109"/>
      <c r="AX445" s="109"/>
    </row>
    <row r="446" ht="15.75" customHeight="1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"/>
      <c r="Y446" s="109"/>
      <c r="Z446" s="109"/>
      <c r="AA446" s="109"/>
      <c r="AB446" s="109"/>
      <c r="AC446" s="109"/>
      <c r="AD446" s="109"/>
      <c r="AE446" s="109"/>
      <c r="AF446" s="109"/>
      <c r="AG446" s="109"/>
      <c r="AH446" s="109"/>
      <c r="AI446" s="109"/>
      <c r="AJ446" s="109"/>
      <c r="AK446" s="109"/>
      <c r="AL446" s="109"/>
      <c r="AM446" s="109"/>
      <c r="AN446" s="109"/>
      <c r="AO446" s="109"/>
      <c r="AP446" s="109"/>
      <c r="AQ446" s="109"/>
      <c r="AR446" s="109"/>
      <c r="AS446" s="109"/>
      <c r="AT446" s="109"/>
      <c r="AU446" s="109"/>
      <c r="AV446" s="109"/>
      <c r="AW446" s="109"/>
      <c r="AX446" s="109"/>
    </row>
    <row r="447" ht="15.75" customHeight="1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"/>
      <c r="Y447" s="109"/>
      <c r="Z447" s="109"/>
      <c r="AA447" s="109"/>
      <c r="AB447" s="109"/>
      <c r="AC447" s="109"/>
      <c r="AD447" s="109"/>
      <c r="AE447" s="109"/>
      <c r="AF447" s="109"/>
      <c r="AG447" s="109"/>
      <c r="AH447" s="109"/>
      <c r="AI447" s="109"/>
      <c r="AJ447" s="109"/>
      <c r="AK447" s="109"/>
      <c r="AL447" s="109"/>
      <c r="AM447" s="109"/>
      <c r="AN447" s="109"/>
      <c r="AO447" s="109"/>
      <c r="AP447" s="109"/>
      <c r="AQ447" s="109"/>
      <c r="AR447" s="109"/>
      <c r="AS447" s="109"/>
      <c r="AT447" s="109"/>
      <c r="AU447" s="109"/>
      <c r="AV447" s="109"/>
      <c r="AW447" s="109"/>
      <c r="AX447" s="109"/>
    </row>
    <row r="448" ht="15.75" customHeight="1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"/>
      <c r="Y448" s="109"/>
      <c r="Z448" s="109"/>
      <c r="AA448" s="109"/>
      <c r="AB448" s="109"/>
      <c r="AC448" s="109"/>
      <c r="AD448" s="109"/>
      <c r="AE448" s="109"/>
      <c r="AF448" s="109"/>
      <c r="AG448" s="109"/>
      <c r="AH448" s="109"/>
      <c r="AI448" s="109"/>
      <c r="AJ448" s="109"/>
      <c r="AK448" s="109"/>
      <c r="AL448" s="109"/>
      <c r="AM448" s="109"/>
      <c r="AN448" s="109"/>
      <c r="AO448" s="109"/>
      <c r="AP448" s="109"/>
      <c r="AQ448" s="109"/>
      <c r="AR448" s="109"/>
      <c r="AS448" s="109"/>
      <c r="AT448" s="109"/>
      <c r="AU448" s="109"/>
      <c r="AV448" s="109"/>
      <c r="AW448" s="109"/>
      <c r="AX448" s="109"/>
    </row>
    <row r="449" ht="15.75" customHeight="1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"/>
      <c r="Y449" s="109"/>
      <c r="Z449" s="109"/>
      <c r="AA449" s="109"/>
      <c r="AB449" s="109"/>
      <c r="AC449" s="109"/>
      <c r="AD449" s="109"/>
      <c r="AE449" s="109"/>
      <c r="AF449" s="109"/>
      <c r="AG449" s="109"/>
      <c r="AH449" s="109"/>
      <c r="AI449" s="109"/>
      <c r="AJ449" s="109"/>
      <c r="AK449" s="109"/>
      <c r="AL449" s="109"/>
      <c r="AM449" s="109"/>
      <c r="AN449" s="109"/>
      <c r="AO449" s="109"/>
      <c r="AP449" s="109"/>
      <c r="AQ449" s="109"/>
      <c r="AR449" s="109"/>
      <c r="AS449" s="109"/>
      <c r="AT449" s="109"/>
      <c r="AU449" s="109"/>
      <c r="AV449" s="109"/>
      <c r="AW449" s="109"/>
      <c r="AX449" s="109"/>
    </row>
    <row r="450" ht="15.75" customHeight="1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"/>
      <c r="Y450" s="109"/>
      <c r="Z450" s="109"/>
      <c r="AA450" s="109"/>
      <c r="AB450" s="109"/>
      <c r="AC450" s="109"/>
      <c r="AD450" s="109"/>
      <c r="AE450" s="109"/>
      <c r="AF450" s="109"/>
      <c r="AG450" s="109"/>
      <c r="AH450" s="109"/>
      <c r="AI450" s="109"/>
      <c r="AJ450" s="109"/>
      <c r="AK450" s="109"/>
      <c r="AL450" s="109"/>
      <c r="AM450" s="109"/>
      <c r="AN450" s="109"/>
      <c r="AO450" s="109"/>
      <c r="AP450" s="109"/>
      <c r="AQ450" s="109"/>
      <c r="AR450" s="109"/>
      <c r="AS450" s="109"/>
      <c r="AT450" s="109"/>
      <c r="AU450" s="109"/>
      <c r="AV450" s="109"/>
      <c r="AW450" s="109"/>
      <c r="AX450" s="109"/>
    </row>
    <row r="451" ht="15.75" customHeight="1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"/>
      <c r="Y451" s="109"/>
      <c r="Z451" s="109"/>
      <c r="AA451" s="109"/>
      <c r="AB451" s="109"/>
      <c r="AC451" s="109"/>
      <c r="AD451" s="109"/>
      <c r="AE451" s="109"/>
      <c r="AF451" s="109"/>
      <c r="AG451" s="109"/>
      <c r="AH451" s="109"/>
      <c r="AI451" s="109"/>
      <c r="AJ451" s="109"/>
      <c r="AK451" s="109"/>
      <c r="AL451" s="109"/>
      <c r="AM451" s="109"/>
      <c r="AN451" s="109"/>
      <c r="AO451" s="109"/>
      <c r="AP451" s="109"/>
      <c r="AQ451" s="109"/>
      <c r="AR451" s="109"/>
      <c r="AS451" s="109"/>
      <c r="AT451" s="109"/>
      <c r="AU451" s="109"/>
      <c r="AV451" s="109"/>
      <c r="AW451" s="109"/>
      <c r="AX451" s="109"/>
    </row>
    <row r="452" ht="15.75" customHeight="1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"/>
      <c r="Y452" s="109"/>
      <c r="Z452" s="109"/>
      <c r="AA452" s="109"/>
      <c r="AB452" s="109"/>
      <c r="AC452" s="109"/>
      <c r="AD452" s="109"/>
      <c r="AE452" s="109"/>
      <c r="AF452" s="109"/>
      <c r="AG452" s="109"/>
      <c r="AH452" s="109"/>
      <c r="AI452" s="109"/>
      <c r="AJ452" s="109"/>
      <c r="AK452" s="109"/>
      <c r="AL452" s="109"/>
      <c r="AM452" s="109"/>
      <c r="AN452" s="109"/>
      <c r="AO452" s="109"/>
      <c r="AP452" s="109"/>
      <c r="AQ452" s="109"/>
      <c r="AR452" s="109"/>
      <c r="AS452" s="109"/>
      <c r="AT452" s="109"/>
      <c r="AU452" s="109"/>
      <c r="AV452" s="109"/>
      <c r="AW452" s="109"/>
      <c r="AX452" s="109"/>
    </row>
    <row r="453" ht="15.75" customHeight="1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"/>
      <c r="Y453" s="109"/>
      <c r="Z453" s="109"/>
      <c r="AA453" s="109"/>
      <c r="AB453" s="109"/>
      <c r="AC453" s="109"/>
      <c r="AD453" s="109"/>
      <c r="AE453" s="109"/>
      <c r="AF453" s="109"/>
      <c r="AG453" s="109"/>
      <c r="AH453" s="109"/>
      <c r="AI453" s="109"/>
      <c r="AJ453" s="109"/>
      <c r="AK453" s="109"/>
      <c r="AL453" s="109"/>
      <c r="AM453" s="109"/>
      <c r="AN453" s="109"/>
      <c r="AO453" s="109"/>
      <c r="AP453" s="109"/>
      <c r="AQ453" s="109"/>
      <c r="AR453" s="109"/>
      <c r="AS453" s="109"/>
      <c r="AT453" s="109"/>
      <c r="AU453" s="109"/>
      <c r="AV453" s="109"/>
      <c r="AW453" s="109"/>
      <c r="AX453" s="109"/>
    </row>
    <row r="454" ht="15.75" customHeight="1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"/>
      <c r="Y454" s="109"/>
      <c r="Z454" s="109"/>
      <c r="AA454" s="109"/>
      <c r="AB454" s="109"/>
      <c r="AC454" s="109"/>
      <c r="AD454" s="109"/>
      <c r="AE454" s="109"/>
      <c r="AF454" s="109"/>
      <c r="AG454" s="109"/>
      <c r="AH454" s="109"/>
      <c r="AI454" s="109"/>
      <c r="AJ454" s="109"/>
      <c r="AK454" s="109"/>
      <c r="AL454" s="109"/>
      <c r="AM454" s="109"/>
      <c r="AN454" s="109"/>
      <c r="AO454" s="109"/>
      <c r="AP454" s="109"/>
      <c r="AQ454" s="109"/>
      <c r="AR454" s="109"/>
      <c r="AS454" s="109"/>
      <c r="AT454" s="109"/>
      <c r="AU454" s="109"/>
      <c r="AV454" s="109"/>
      <c r="AW454" s="109"/>
      <c r="AX454" s="109"/>
    </row>
    <row r="455" ht="15.75" customHeight="1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"/>
      <c r="Y455" s="109"/>
      <c r="Z455" s="109"/>
      <c r="AA455" s="109"/>
      <c r="AB455" s="109"/>
      <c r="AC455" s="109"/>
      <c r="AD455" s="109"/>
      <c r="AE455" s="109"/>
      <c r="AF455" s="109"/>
      <c r="AG455" s="109"/>
      <c r="AH455" s="109"/>
      <c r="AI455" s="109"/>
      <c r="AJ455" s="109"/>
      <c r="AK455" s="109"/>
      <c r="AL455" s="109"/>
      <c r="AM455" s="109"/>
      <c r="AN455" s="109"/>
      <c r="AO455" s="109"/>
      <c r="AP455" s="109"/>
      <c r="AQ455" s="109"/>
      <c r="AR455" s="109"/>
      <c r="AS455" s="109"/>
      <c r="AT455" s="109"/>
      <c r="AU455" s="109"/>
      <c r="AV455" s="109"/>
      <c r="AW455" s="109"/>
      <c r="AX455" s="109"/>
    </row>
    <row r="456" ht="15.75" customHeight="1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"/>
      <c r="Y456" s="109"/>
      <c r="Z456" s="109"/>
      <c r="AA456" s="109"/>
      <c r="AB456" s="109"/>
      <c r="AC456" s="109"/>
      <c r="AD456" s="109"/>
      <c r="AE456" s="109"/>
      <c r="AF456" s="109"/>
      <c r="AG456" s="109"/>
      <c r="AH456" s="109"/>
      <c r="AI456" s="109"/>
      <c r="AJ456" s="109"/>
      <c r="AK456" s="109"/>
      <c r="AL456" s="109"/>
      <c r="AM456" s="109"/>
      <c r="AN456" s="109"/>
      <c r="AO456" s="109"/>
      <c r="AP456" s="109"/>
      <c r="AQ456" s="109"/>
      <c r="AR456" s="109"/>
      <c r="AS456" s="109"/>
      <c r="AT456" s="109"/>
      <c r="AU456" s="109"/>
      <c r="AV456" s="109"/>
      <c r="AW456" s="109"/>
      <c r="AX456" s="109"/>
    </row>
    <row r="457" ht="15.75" customHeight="1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"/>
      <c r="Y457" s="109"/>
      <c r="Z457" s="109"/>
      <c r="AA457" s="109"/>
      <c r="AB457" s="109"/>
      <c r="AC457" s="109"/>
      <c r="AD457" s="109"/>
      <c r="AE457" s="109"/>
      <c r="AF457" s="109"/>
      <c r="AG457" s="109"/>
      <c r="AH457" s="109"/>
      <c r="AI457" s="109"/>
      <c r="AJ457" s="109"/>
      <c r="AK457" s="109"/>
      <c r="AL457" s="109"/>
      <c r="AM457" s="109"/>
      <c r="AN457" s="109"/>
      <c r="AO457" s="109"/>
      <c r="AP457" s="109"/>
      <c r="AQ457" s="109"/>
      <c r="AR457" s="109"/>
      <c r="AS457" s="109"/>
      <c r="AT457" s="109"/>
      <c r="AU457" s="109"/>
      <c r="AV457" s="109"/>
      <c r="AW457" s="109"/>
      <c r="AX457" s="109"/>
    </row>
    <row r="458" ht="15.75" customHeight="1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"/>
      <c r="Y458" s="109"/>
      <c r="Z458" s="109"/>
      <c r="AA458" s="109"/>
      <c r="AB458" s="109"/>
      <c r="AC458" s="109"/>
      <c r="AD458" s="109"/>
      <c r="AE458" s="109"/>
      <c r="AF458" s="109"/>
      <c r="AG458" s="109"/>
      <c r="AH458" s="109"/>
      <c r="AI458" s="109"/>
      <c r="AJ458" s="109"/>
      <c r="AK458" s="109"/>
      <c r="AL458" s="109"/>
      <c r="AM458" s="109"/>
      <c r="AN458" s="109"/>
      <c r="AO458" s="109"/>
      <c r="AP458" s="109"/>
      <c r="AQ458" s="109"/>
      <c r="AR458" s="109"/>
      <c r="AS458" s="109"/>
      <c r="AT458" s="109"/>
      <c r="AU458" s="109"/>
      <c r="AV458" s="109"/>
      <c r="AW458" s="109"/>
      <c r="AX458" s="109"/>
    </row>
    <row r="459" ht="15.75" customHeight="1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"/>
      <c r="Y459" s="109"/>
      <c r="Z459" s="109"/>
      <c r="AA459" s="109"/>
      <c r="AB459" s="109"/>
      <c r="AC459" s="109"/>
      <c r="AD459" s="109"/>
      <c r="AE459" s="109"/>
      <c r="AF459" s="109"/>
      <c r="AG459" s="109"/>
      <c r="AH459" s="109"/>
      <c r="AI459" s="109"/>
      <c r="AJ459" s="109"/>
      <c r="AK459" s="109"/>
      <c r="AL459" s="109"/>
      <c r="AM459" s="109"/>
      <c r="AN459" s="109"/>
      <c r="AO459" s="109"/>
      <c r="AP459" s="109"/>
      <c r="AQ459" s="109"/>
      <c r="AR459" s="109"/>
      <c r="AS459" s="109"/>
      <c r="AT459" s="109"/>
      <c r="AU459" s="109"/>
      <c r="AV459" s="109"/>
      <c r="AW459" s="109"/>
      <c r="AX459" s="109"/>
    </row>
    <row r="460" ht="15.75" customHeight="1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"/>
      <c r="Y460" s="109"/>
      <c r="Z460" s="109"/>
      <c r="AA460" s="109"/>
      <c r="AB460" s="109"/>
      <c r="AC460" s="109"/>
      <c r="AD460" s="109"/>
      <c r="AE460" s="109"/>
      <c r="AF460" s="109"/>
      <c r="AG460" s="109"/>
      <c r="AH460" s="109"/>
      <c r="AI460" s="109"/>
      <c r="AJ460" s="109"/>
      <c r="AK460" s="109"/>
      <c r="AL460" s="109"/>
      <c r="AM460" s="109"/>
      <c r="AN460" s="109"/>
      <c r="AO460" s="109"/>
      <c r="AP460" s="109"/>
      <c r="AQ460" s="109"/>
      <c r="AR460" s="109"/>
      <c r="AS460" s="109"/>
      <c r="AT460" s="109"/>
      <c r="AU460" s="109"/>
      <c r="AV460" s="109"/>
      <c r="AW460" s="109"/>
      <c r="AX460" s="109"/>
    </row>
    <row r="461" ht="15.75" customHeight="1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"/>
      <c r="Y461" s="109"/>
      <c r="Z461" s="109"/>
      <c r="AA461" s="109"/>
      <c r="AB461" s="109"/>
      <c r="AC461" s="109"/>
      <c r="AD461" s="109"/>
      <c r="AE461" s="109"/>
      <c r="AF461" s="109"/>
      <c r="AG461" s="109"/>
      <c r="AH461" s="109"/>
      <c r="AI461" s="109"/>
      <c r="AJ461" s="109"/>
      <c r="AK461" s="109"/>
      <c r="AL461" s="109"/>
      <c r="AM461" s="109"/>
      <c r="AN461" s="109"/>
      <c r="AO461" s="109"/>
      <c r="AP461" s="109"/>
      <c r="AQ461" s="109"/>
      <c r="AR461" s="109"/>
      <c r="AS461" s="109"/>
      <c r="AT461" s="109"/>
      <c r="AU461" s="109"/>
      <c r="AV461" s="109"/>
      <c r="AW461" s="109"/>
      <c r="AX461" s="109"/>
    </row>
    <row r="462" ht="15.75" customHeight="1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"/>
      <c r="Y462" s="109"/>
      <c r="Z462" s="109"/>
      <c r="AA462" s="109"/>
      <c r="AB462" s="109"/>
      <c r="AC462" s="109"/>
      <c r="AD462" s="109"/>
      <c r="AE462" s="109"/>
      <c r="AF462" s="109"/>
      <c r="AG462" s="109"/>
      <c r="AH462" s="109"/>
      <c r="AI462" s="109"/>
      <c r="AJ462" s="109"/>
      <c r="AK462" s="109"/>
      <c r="AL462" s="109"/>
      <c r="AM462" s="109"/>
      <c r="AN462" s="109"/>
      <c r="AO462" s="109"/>
      <c r="AP462" s="109"/>
      <c r="AQ462" s="109"/>
      <c r="AR462" s="109"/>
      <c r="AS462" s="109"/>
      <c r="AT462" s="109"/>
      <c r="AU462" s="109"/>
      <c r="AV462" s="109"/>
      <c r="AW462" s="109"/>
      <c r="AX462" s="109"/>
    </row>
    <row r="463" ht="15.75" customHeight="1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"/>
      <c r="Y463" s="109"/>
      <c r="Z463" s="109"/>
      <c r="AA463" s="109"/>
      <c r="AB463" s="109"/>
      <c r="AC463" s="109"/>
      <c r="AD463" s="109"/>
      <c r="AE463" s="109"/>
      <c r="AF463" s="109"/>
      <c r="AG463" s="109"/>
      <c r="AH463" s="109"/>
      <c r="AI463" s="109"/>
      <c r="AJ463" s="109"/>
      <c r="AK463" s="109"/>
      <c r="AL463" s="109"/>
      <c r="AM463" s="109"/>
      <c r="AN463" s="109"/>
      <c r="AO463" s="109"/>
      <c r="AP463" s="109"/>
      <c r="AQ463" s="109"/>
      <c r="AR463" s="109"/>
      <c r="AS463" s="109"/>
      <c r="AT463" s="109"/>
      <c r="AU463" s="109"/>
      <c r="AV463" s="109"/>
      <c r="AW463" s="109"/>
      <c r="AX463" s="109"/>
    </row>
    <row r="464" ht="15.75" customHeight="1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"/>
      <c r="Y464" s="109"/>
      <c r="Z464" s="109"/>
      <c r="AA464" s="109"/>
      <c r="AB464" s="109"/>
      <c r="AC464" s="109"/>
      <c r="AD464" s="109"/>
      <c r="AE464" s="109"/>
      <c r="AF464" s="109"/>
      <c r="AG464" s="109"/>
      <c r="AH464" s="109"/>
      <c r="AI464" s="109"/>
      <c r="AJ464" s="109"/>
      <c r="AK464" s="109"/>
      <c r="AL464" s="109"/>
      <c r="AM464" s="109"/>
      <c r="AN464" s="109"/>
      <c r="AO464" s="109"/>
      <c r="AP464" s="109"/>
      <c r="AQ464" s="109"/>
      <c r="AR464" s="109"/>
      <c r="AS464" s="109"/>
      <c r="AT464" s="109"/>
      <c r="AU464" s="109"/>
      <c r="AV464" s="109"/>
      <c r="AW464" s="109"/>
      <c r="AX464" s="109"/>
    </row>
    <row r="465" ht="15.75" customHeight="1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"/>
      <c r="Y465" s="109"/>
      <c r="Z465" s="109"/>
      <c r="AA465" s="109"/>
      <c r="AB465" s="109"/>
      <c r="AC465" s="109"/>
      <c r="AD465" s="109"/>
      <c r="AE465" s="109"/>
      <c r="AF465" s="109"/>
      <c r="AG465" s="109"/>
      <c r="AH465" s="109"/>
      <c r="AI465" s="109"/>
      <c r="AJ465" s="109"/>
      <c r="AK465" s="109"/>
      <c r="AL465" s="109"/>
      <c r="AM465" s="109"/>
      <c r="AN465" s="109"/>
      <c r="AO465" s="109"/>
      <c r="AP465" s="109"/>
      <c r="AQ465" s="109"/>
      <c r="AR465" s="109"/>
      <c r="AS465" s="109"/>
      <c r="AT465" s="109"/>
      <c r="AU465" s="109"/>
      <c r="AV465" s="109"/>
      <c r="AW465" s="109"/>
      <c r="AX465" s="109"/>
    </row>
    <row r="466" ht="15.75" customHeight="1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"/>
      <c r="Y466" s="109"/>
      <c r="Z466" s="109"/>
      <c r="AA466" s="109"/>
      <c r="AB466" s="109"/>
      <c r="AC466" s="109"/>
      <c r="AD466" s="109"/>
      <c r="AE466" s="109"/>
      <c r="AF466" s="109"/>
      <c r="AG466" s="109"/>
      <c r="AH466" s="109"/>
      <c r="AI466" s="109"/>
      <c r="AJ466" s="109"/>
      <c r="AK466" s="109"/>
      <c r="AL466" s="109"/>
      <c r="AM466" s="109"/>
      <c r="AN466" s="109"/>
      <c r="AO466" s="109"/>
      <c r="AP466" s="109"/>
      <c r="AQ466" s="109"/>
      <c r="AR466" s="109"/>
      <c r="AS466" s="109"/>
      <c r="AT466" s="109"/>
      <c r="AU466" s="109"/>
      <c r="AV466" s="109"/>
      <c r="AW466" s="109"/>
      <c r="AX466" s="109"/>
    </row>
    <row r="467" ht="15.75" customHeight="1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"/>
      <c r="Y467" s="109"/>
      <c r="Z467" s="109"/>
      <c r="AA467" s="109"/>
      <c r="AB467" s="109"/>
      <c r="AC467" s="109"/>
      <c r="AD467" s="109"/>
      <c r="AE467" s="109"/>
      <c r="AF467" s="109"/>
      <c r="AG467" s="109"/>
      <c r="AH467" s="109"/>
      <c r="AI467" s="109"/>
      <c r="AJ467" s="109"/>
      <c r="AK467" s="109"/>
      <c r="AL467" s="109"/>
      <c r="AM467" s="109"/>
      <c r="AN467" s="109"/>
      <c r="AO467" s="109"/>
      <c r="AP467" s="109"/>
      <c r="AQ467" s="109"/>
      <c r="AR467" s="109"/>
      <c r="AS467" s="109"/>
      <c r="AT467" s="109"/>
      <c r="AU467" s="109"/>
      <c r="AV467" s="109"/>
      <c r="AW467" s="109"/>
      <c r="AX467" s="109"/>
    </row>
    <row r="468" ht="15.75" customHeight="1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"/>
      <c r="Y468" s="109"/>
      <c r="Z468" s="109"/>
      <c r="AA468" s="109"/>
      <c r="AB468" s="109"/>
      <c r="AC468" s="109"/>
      <c r="AD468" s="109"/>
      <c r="AE468" s="109"/>
      <c r="AF468" s="109"/>
      <c r="AG468" s="109"/>
      <c r="AH468" s="109"/>
      <c r="AI468" s="109"/>
      <c r="AJ468" s="109"/>
      <c r="AK468" s="109"/>
      <c r="AL468" s="109"/>
      <c r="AM468" s="109"/>
      <c r="AN468" s="109"/>
      <c r="AO468" s="109"/>
      <c r="AP468" s="109"/>
      <c r="AQ468" s="109"/>
      <c r="AR468" s="109"/>
      <c r="AS468" s="109"/>
      <c r="AT468" s="109"/>
      <c r="AU468" s="109"/>
      <c r="AV468" s="109"/>
      <c r="AW468" s="109"/>
      <c r="AX468" s="109"/>
    </row>
    <row r="469" ht="15.75" customHeight="1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"/>
      <c r="Y469" s="109"/>
      <c r="Z469" s="109"/>
      <c r="AA469" s="109"/>
      <c r="AB469" s="109"/>
      <c r="AC469" s="109"/>
      <c r="AD469" s="109"/>
      <c r="AE469" s="109"/>
      <c r="AF469" s="109"/>
      <c r="AG469" s="109"/>
      <c r="AH469" s="109"/>
      <c r="AI469" s="109"/>
      <c r="AJ469" s="109"/>
      <c r="AK469" s="109"/>
      <c r="AL469" s="109"/>
      <c r="AM469" s="109"/>
      <c r="AN469" s="109"/>
      <c r="AO469" s="109"/>
      <c r="AP469" s="109"/>
      <c r="AQ469" s="109"/>
      <c r="AR469" s="109"/>
      <c r="AS469" s="109"/>
      <c r="AT469" s="109"/>
      <c r="AU469" s="109"/>
      <c r="AV469" s="109"/>
      <c r="AW469" s="109"/>
      <c r="AX469" s="109"/>
    </row>
    <row r="470" ht="15.75" customHeight="1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"/>
      <c r="Y470" s="109"/>
      <c r="Z470" s="109"/>
      <c r="AA470" s="109"/>
      <c r="AB470" s="109"/>
      <c r="AC470" s="109"/>
      <c r="AD470" s="109"/>
      <c r="AE470" s="109"/>
      <c r="AF470" s="109"/>
      <c r="AG470" s="109"/>
      <c r="AH470" s="109"/>
      <c r="AI470" s="109"/>
      <c r="AJ470" s="109"/>
      <c r="AK470" s="109"/>
      <c r="AL470" s="109"/>
      <c r="AM470" s="109"/>
      <c r="AN470" s="109"/>
      <c r="AO470" s="109"/>
      <c r="AP470" s="109"/>
      <c r="AQ470" s="109"/>
      <c r="AR470" s="109"/>
      <c r="AS470" s="109"/>
      <c r="AT470" s="109"/>
      <c r="AU470" s="109"/>
      <c r="AV470" s="109"/>
      <c r="AW470" s="109"/>
      <c r="AX470" s="109"/>
    </row>
    <row r="471" ht="15.75" customHeight="1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"/>
      <c r="Y471" s="109"/>
      <c r="Z471" s="109"/>
      <c r="AA471" s="109"/>
      <c r="AB471" s="109"/>
      <c r="AC471" s="109"/>
      <c r="AD471" s="109"/>
      <c r="AE471" s="109"/>
      <c r="AF471" s="109"/>
      <c r="AG471" s="109"/>
      <c r="AH471" s="109"/>
      <c r="AI471" s="109"/>
      <c r="AJ471" s="109"/>
      <c r="AK471" s="109"/>
      <c r="AL471" s="109"/>
      <c r="AM471" s="109"/>
      <c r="AN471" s="109"/>
      <c r="AO471" s="109"/>
      <c r="AP471" s="109"/>
      <c r="AQ471" s="109"/>
      <c r="AR471" s="109"/>
      <c r="AS471" s="109"/>
      <c r="AT471" s="109"/>
      <c r="AU471" s="109"/>
      <c r="AV471" s="109"/>
      <c r="AW471" s="109"/>
      <c r="AX471" s="109"/>
    </row>
    <row r="472" ht="15.75" customHeight="1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"/>
      <c r="Y472" s="109"/>
      <c r="Z472" s="109"/>
      <c r="AA472" s="109"/>
      <c r="AB472" s="109"/>
      <c r="AC472" s="109"/>
      <c r="AD472" s="109"/>
      <c r="AE472" s="109"/>
      <c r="AF472" s="109"/>
      <c r="AG472" s="109"/>
      <c r="AH472" s="109"/>
      <c r="AI472" s="109"/>
      <c r="AJ472" s="109"/>
      <c r="AK472" s="109"/>
      <c r="AL472" s="109"/>
      <c r="AM472" s="109"/>
      <c r="AN472" s="109"/>
      <c r="AO472" s="109"/>
      <c r="AP472" s="109"/>
      <c r="AQ472" s="109"/>
      <c r="AR472" s="109"/>
      <c r="AS472" s="109"/>
      <c r="AT472" s="109"/>
      <c r="AU472" s="109"/>
      <c r="AV472" s="109"/>
      <c r="AW472" s="109"/>
      <c r="AX472" s="109"/>
    </row>
    <row r="473" ht="15.75" customHeight="1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"/>
      <c r="Y473" s="109"/>
      <c r="Z473" s="109"/>
      <c r="AA473" s="109"/>
      <c r="AB473" s="109"/>
      <c r="AC473" s="109"/>
      <c r="AD473" s="109"/>
      <c r="AE473" s="109"/>
      <c r="AF473" s="109"/>
      <c r="AG473" s="109"/>
      <c r="AH473" s="109"/>
      <c r="AI473" s="109"/>
      <c r="AJ473" s="109"/>
      <c r="AK473" s="109"/>
      <c r="AL473" s="109"/>
      <c r="AM473" s="109"/>
      <c r="AN473" s="109"/>
      <c r="AO473" s="109"/>
      <c r="AP473" s="109"/>
      <c r="AQ473" s="109"/>
      <c r="AR473" s="109"/>
      <c r="AS473" s="109"/>
      <c r="AT473" s="109"/>
      <c r="AU473" s="109"/>
      <c r="AV473" s="109"/>
      <c r="AW473" s="109"/>
      <c r="AX473" s="109"/>
    </row>
    <row r="474" ht="15.75" customHeight="1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"/>
      <c r="Y474" s="109"/>
      <c r="Z474" s="109"/>
      <c r="AA474" s="109"/>
      <c r="AB474" s="109"/>
      <c r="AC474" s="109"/>
      <c r="AD474" s="109"/>
      <c r="AE474" s="109"/>
      <c r="AF474" s="109"/>
      <c r="AG474" s="109"/>
      <c r="AH474" s="109"/>
      <c r="AI474" s="109"/>
      <c r="AJ474" s="109"/>
      <c r="AK474" s="109"/>
      <c r="AL474" s="109"/>
      <c r="AM474" s="109"/>
      <c r="AN474" s="109"/>
      <c r="AO474" s="109"/>
      <c r="AP474" s="109"/>
      <c r="AQ474" s="109"/>
      <c r="AR474" s="109"/>
      <c r="AS474" s="109"/>
      <c r="AT474" s="109"/>
      <c r="AU474" s="109"/>
      <c r="AV474" s="109"/>
      <c r="AW474" s="109"/>
      <c r="AX474" s="109"/>
    </row>
    <row r="475" ht="15.75" customHeight="1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"/>
      <c r="Y475" s="109"/>
      <c r="Z475" s="109"/>
      <c r="AA475" s="109"/>
      <c r="AB475" s="109"/>
      <c r="AC475" s="109"/>
      <c r="AD475" s="109"/>
      <c r="AE475" s="109"/>
      <c r="AF475" s="109"/>
      <c r="AG475" s="109"/>
      <c r="AH475" s="109"/>
      <c r="AI475" s="109"/>
      <c r="AJ475" s="109"/>
      <c r="AK475" s="109"/>
      <c r="AL475" s="109"/>
      <c r="AM475" s="109"/>
      <c r="AN475" s="109"/>
      <c r="AO475" s="109"/>
      <c r="AP475" s="109"/>
      <c r="AQ475" s="109"/>
      <c r="AR475" s="109"/>
      <c r="AS475" s="109"/>
      <c r="AT475" s="109"/>
      <c r="AU475" s="109"/>
      <c r="AV475" s="109"/>
      <c r="AW475" s="109"/>
      <c r="AX475" s="109"/>
    </row>
    <row r="476" ht="15.75" customHeight="1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"/>
      <c r="Y476" s="109"/>
      <c r="Z476" s="109"/>
      <c r="AA476" s="109"/>
      <c r="AB476" s="109"/>
      <c r="AC476" s="109"/>
      <c r="AD476" s="109"/>
      <c r="AE476" s="109"/>
      <c r="AF476" s="109"/>
      <c r="AG476" s="109"/>
      <c r="AH476" s="109"/>
      <c r="AI476" s="109"/>
      <c r="AJ476" s="109"/>
      <c r="AK476" s="109"/>
      <c r="AL476" s="109"/>
      <c r="AM476" s="109"/>
      <c r="AN476" s="109"/>
      <c r="AO476" s="109"/>
      <c r="AP476" s="109"/>
      <c r="AQ476" s="109"/>
      <c r="AR476" s="109"/>
      <c r="AS476" s="109"/>
      <c r="AT476" s="109"/>
      <c r="AU476" s="109"/>
      <c r="AV476" s="109"/>
      <c r="AW476" s="109"/>
      <c r="AX476" s="109"/>
    </row>
    <row r="477" ht="15.75" customHeight="1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"/>
      <c r="Y477" s="109"/>
      <c r="Z477" s="109"/>
      <c r="AA477" s="109"/>
      <c r="AB477" s="109"/>
      <c r="AC477" s="109"/>
      <c r="AD477" s="109"/>
      <c r="AE477" s="109"/>
      <c r="AF477" s="109"/>
      <c r="AG477" s="109"/>
      <c r="AH477" s="109"/>
      <c r="AI477" s="109"/>
      <c r="AJ477" s="109"/>
      <c r="AK477" s="109"/>
      <c r="AL477" s="109"/>
      <c r="AM477" s="109"/>
      <c r="AN477" s="109"/>
      <c r="AO477" s="109"/>
      <c r="AP477" s="109"/>
      <c r="AQ477" s="109"/>
      <c r="AR477" s="109"/>
      <c r="AS477" s="109"/>
      <c r="AT477" s="109"/>
      <c r="AU477" s="109"/>
      <c r="AV477" s="109"/>
      <c r="AW477" s="109"/>
      <c r="AX477" s="109"/>
    </row>
    <row r="478" ht="15.75" customHeight="1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"/>
      <c r="Y478" s="109"/>
      <c r="Z478" s="109"/>
      <c r="AA478" s="109"/>
      <c r="AB478" s="109"/>
      <c r="AC478" s="109"/>
      <c r="AD478" s="109"/>
      <c r="AE478" s="109"/>
      <c r="AF478" s="109"/>
      <c r="AG478" s="109"/>
      <c r="AH478" s="109"/>
      <c r="AI478" s="109"/>
      <c r="AJ478" s="109"/>
      <c r="AK478" s="109"/>
      <c r="AL478" s="109"/>
      <c r="AM478" s="109"/>
      <c r="AN478" s="109"/>
      <c r="AO478" s="109"/>
      <c r="AP478" s="109"/>
      <c r="AQ478" s="109"/>
      <c r="AR478" s="109"/>
      <c r="AS478" s="109"/>
      <c r="AT478" s="109"/>
      <c r="AU478" s="109"/>
      <c r="AV478" s="109"/>
      <c r="AW478" s="109"/>
      <c r="AX478" s="109"/>
    </row>
    <row r="479" ht="15.75" customHeight="1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"/>
      <c r="Y479" s="109"/>
      <c r="Z479" s="109"/>
      <c r="AA479" s="109"/>
      <c r="AB479" s="109"/>
      <c r="AC479" s="109"/>
      <c r="AD479" s="109"/>
      <c r="AE479" s="109"/>
      <c r="AF479" s="109"/>
      <c r="AG479" s="109"/>
      <c r="AH479" s="109"/>
      <c r="AI479" s="109"/>
      <c r="AJ479" s="109"/>
      <c r="AK479" s="109"/>
      <c r="AL479" s="109"/>
      <c r="AM479" s="109"/>
      <c r="AN479" s="109"/>
      <c r="AO479" s="109"/>
      <c r="AP479" s="109"/>
      <c r="AQ479" s="109"/>
      <c r="AR479" s="109"/>
      <c r="AS479" s="109"/>
      <c r="AT479" s="109"/>
      <c r="AU479" s="109"/>
      <c r="AV479" s="109"/>
      <c r="AW479" s="109"/>
      <c r="AX479" s="109"/>
    </row>
    <row r="480" ht="15.75" customHeight="1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"/>
      <c r="Y480" s="109"/>
      <c r="Z480" s="109"/>
      <c r="AA480" s="109"/>
      <c r="AB480" s="109"/>
      <c r="AC480" s="109"/>
      <c r="AD480" s="109"/>
      <c r="AE480" s="109"/>
      <c r="AF480" s="109"/>
      <c r="AG480" s="109"/>
      <c r="AH480" s="109"/>
      <c r="AI480" s="109"/>
      <c r="AJ480" s="109"/>
      <c r="AK480" s="109"/>
      <c r="AL480" s="109"/>
      <c r="AM480" s="109"/>
      <c r="AN480" s="109"/>
      <c r="AO480" s="109"/>
      <c r="AP480" s="109"/>
      <c r="AQ480" s="109"/>
      <c r="AR480" s="109"/>
      <c r="AS480" s="109"/>
      <c r="AT480" s="109"/>
      <c r="AU480" s="109"/>
      <c r="AV480" s="109"/>
      <c r="AW480" s="109"/>
      <c r="AX480" s="109"/>
    </row>
    <row r="481" ht="15.75" customHeight="1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"/>
      <c r="Y481" s="109"/>
      <c r="Z481" s="109"/>
      <c r="AA481" s="109"/>
      <c r="AB481" s="109"/>
      <c r="AC481" s="109"/>
      <c r="AD481" s="109"/>
      <c r="AE481" s="109"/>
      <c r="AF481" s="109"/>
      <c r="AG481" s="109"/>
      <c r="AH481" s="109"/>
      <c r="AI481" s="109"/>
      <c r="AJ481" s="109"/>
      <c r="AK481" s="109"/>
      <c r="AL481" s="109"/>
      <c r="AM481" s="109"/>
      <c r="AN481" s="109"/>
      <c r="AO481" s="109"/>
      <c r="AP481" s="109"/>
      <c r="AQ481" s="109"/>
      <c r="AR481" s="109"/>
      <c r="AS481" s="109"/>
      <c r="AT481" s="109"/>
      <c r="AU481" s="109"/>
      <c r="AV481" s="109"/>
      <c r="AW481" s="109"/>
      <c r="AX481" s="109"/>
    </row>
    <row r="482" ht="15.75" customHeight="1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"/>
      <c r="Y482" s="109"/>
      <c r="Z482" s="109"/>
      <c r="AA482" s="109"/>
      <c r="AB482" s="109"/>
      <c r="AC482" s="109"/>
      <c r="AD482" s="109"/>
      <c r="AE482" s="109"/>
      <c r="AF482" s="109"/>
      <c r="AG482" s="109"/>
      <c r="AH482" s="109"/>
      <c r="AI482" s="109"/>
      <c r="AJ482" s="109"/>
      <c r="AK482" s="109"/>
      <c r="AL482" s="109"/>
      <c r="AM482" s="109"/>
      <c r="AN482" s="109"/>
      <c r="AO482" s="109"/>
      <c r="AP482" s="109"/>
      <c r="AQ482" s="109"/>
      <c r="AR482" s="109"/>
      <c r="AS482" s="109"/>
      <c r="AT482" s="109"/>
      <c r="AU482" s="109"/>
      <c r="AV482" s="109"/>
      <c r="AW482" s="109"/>
      <c r="AX482" s="109"/>
    </row>
    <row r="483" ht="15.75" customHeight="1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"/>
      <c r="Y483" s="109"/>
      <c r="Z483" s="109"/>
      <c r="AA483" s="109"/>
      <c r="AB483" s="109"/>
      <c r="AC483" s="109"/>
      <c r="AD483" s="109"/>
      <c r="AE483" s="109"/>
      <c r="AF483" s="109"/>
      <c r="AG483" s="109"/>
      <c r="AH483" s="109"/>
      <c r="AI483" s="109"/>
      <c r="AJ483" s="109"/>
      <c r="AK483" s="109"/>
      <c r="AL483" s="109"/>
      <c r="AM483" s="109"/>
      <c r="AN483" s="109"/>
      <c r="AO483" s="109"/>
      <c r="AP483" s="109"/>
      <c r="AQ483" s="109"/>
      <c r="AR483" s="109"/>
      <c r="AS483" s="109"/>
      <c r="AT483" s="109"/>
      <c r="AU483" s="109"/>
      <c r="AV483" s="109"/>
      <c r="AW483" s="109"/>
      <c r="AX483" s="109"/>
    </row>
    <row r="484" ht="15.75" customHeight="1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"/>
      <c r="Y484" s="109"/>
      <c r="Z484" s="109"/>
      <c r="AA484" s="109"/>
      <c r="AB484" s="109"/>
      <c r="AC484" s="109"/>
      <c r="AD484" s="109"/>
      <c r="AE484" s="109"/>
      <c r="AF484" s="109"/>
      <c r="AG484" s="109"/>
      <c r="AH484" s="109"/>
      <c r="AI484" s="109"/>
      <c r="AJ484" s="109"/>
      <c r="AK484" s="109"/>
      <c r="AL484" s="109"/>
      <c r="AM484" s="109"/>
      <c r="AN484" s="109"/>
      <c r="AO484" s="109"/>
      <c r="AP484" s="109"/>
      <c r="AQ484" s="109"/>
      <c r="AR484" s="109"/>
      <c r="AS484" s="109"/>
      <c r="AT484" s="109"/>
      <c r="AU484" s="109"/>
      <c r="AV484" s="109"/>
      <c r="AW484" s="109"/>
      <c r="AX484" s="109"/>
    </row>
    <row r="485" ht="15.75" customHeight="1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"/>
      <c r="Y485" s="109"/>
      <c r="Z485" s="109"/>
      <c r="AA485" s="109"/>
      <c r="AB485" s="109"/>
      <c r="AC485" s="109"/>
      <c r="AD485" s="109"/>
      <c r="AE485" s="109"/>
      <c r="AF485" s="109"/>
      <c r="AG485" s="109"/>
      <c r="AH485" s="109"/>
      <c r="AI485" s="109"/>
      <c r="AJ485" s="109"/>
      <c r="AK485" s="109"/>
      <c r="AL485" s="109"/>
      <c r="AM485" s="109"/>
      <c r="AN485" s="109"/>
      <c r="AO485" s="109"/>
      <c r="AP485" s="109"/>
      <c r="AQ485" s="109"/>
      <c r="AR485" s="109"/>
      <c r="AS485" s="109"/>
      <c r="AT485" s="109"/>
      <c r="AU485" s="109"/>
      <c r="AV485" s="109"/>
      <c r="AW485" s="109"/>
      <c r="AX485" s="109"/>
    </row>
    <row r="486" ht="15.75" customHeight="1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"/>
      <c r="Y486" s="109"/>
      <c r="Z486" s="109"/>
      <c r="AA486" s="109"/>
      <c r="AB486" s="109"/>
      <c r="AC486" s="109"/>
      <c r="AD486" s="109"/>
      <c r="AE486" s="109"/>
      <c r="AF486" s="109"/>
      <c r="AG486" s="109"/>
      <c r="AH486" s="109"/>
      <c r="AI486" s="109"/>
      <c r="AJ486" s="109"/>
      <c r="AK486" s="109"/>
      <c r="AL486" s="109"/>
      <c r="AM486" s="109"/>
      <c r="AN486" s="109"/>
      <c r="AO486" s="109"/>
      <c r="AP486" s="109"/>
      <c r="AQ486" s="109"/>
      <c r="AR486" s="109"/>
      <c r="AS486" s="109"/>
      <c r="AT486" s="109"/>
      <c r="AU486" s="109"/>
      <c r="AV486" s="109"/>
      <c r="AW486" s="109"/>
      <c r="AX486" s="109"/>
    </row>
    <row r="487" ht="15.75" customHeight="1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"/>
      <c r="Y487" s="109"/>
      <c r="Z487" s="109"/>
      <c r="AA487" s="109"/>
      <c r="AB487" s="109"/>
      <c r="AC487" s="109"/>
      <c r="AD487" s="109"/>
      <c r="AE487" s="109"/>
      <c r="AF487" s="109"/>
      <c r="AG487" s="109"/>
      <c r="AH487" s="109"/>
      <c r="AI487" s="109"/>
      <c r="AJ487" s="109"/>
      <c r="AK487" s="109"/>
      <c r="AL487" s="109"/>
      <c r="AM487" s="109"/>
      <c r="AN487" s="109"/>
      <c r="AO487" s="109"/>
      <c r="AP487" s="109"/>
      <c r="AQ487" s="109"/>
      <c r="AR487" s="109"/>
      <c r="AS487" s="109"/>
      <c r="AT487" s="109"/>
      <c r="AU487" s="109"/>
      <c r="AV487" s="109"/>
      <c r="AW487" s="109"/>
      <c r="AX487" s="109"/>
    </row>
    <row r="488" ht="15.75" customHeight="1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"/>
      <c r="Y488" s="109"/>
      <c r="Z488" s="109"/>
      <c r="AA488" s="109"/>
      <c r="AB488" s="109"/>
      <c r="AC488" s="109"/>
      <c r="AD488" s="109"/>
      <c r="AE488" s="109"/>
      <c r="AF488" s="109"/>
      <c r="AG488" s="109"/>
      <c r="AH488" s="109"/>
      <c r="AI488" s="109"/>
      <c r="AJ488" s="109"/>
      <c r="AK488" s="109"/>
      <c r="AL488" s="109"/>
      <c r="AM488" s="109"/>
      <c r="AN488" s="109"/>
      <c r="AO488" s="109"/>
      <c r="AP488" s="109"/>
      <c r="AQ488" s="109"/>
      <c r="AR488" s="109"/>
      <c r="AS488" s="109"/>
      <c r="AT488" s="109"/>
      <c r="AU488" s="109"/>
      <c r="AV488" s="109"/>
      <c r="AW488" s="109"/>
      <c r="AX488" s="109"/>
    </row>
    <row r="489" ht="15.75" customHeight="1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"/>
      <c r="Y489" s="109"/>
      <c r="Z489" s="109"/>
      <c r="AA489" s="109"/>
      <c r="AB489" s="109"/>
      <c r="AC489" s="109"/>
      <c r="AD489" s="109"/>
      <c r="AE489" s="109"/>
      <c r="AF489" s="109"/>
      <c r="AG489" s="109"/>
      <c r="AH489" s="109"/>
      <c r="AI489" s="109"/>
      <c r="AJ489" s="109"/>
      <c r="AK489" s="109"/>
      <c r="AL489" s="109"/>
      <c r="AM489" s="109"/>
      <c r="AN489" s="109"/>
      <c r="AO489" s="109"/>
      <c r="AP489" s="109"/>
      <c r="AQ489" s="109"/>
      <c r="AR489" s="109"/>
      <c r="AS489" s="109"/>
      <c r="AT489" s="109"/>
      <c r="AU489" s="109"/>
      <c r="AV489" s="109"/>
      <c r="AW489" s="109"/>
      <c r="AX489" s="109"/>
    </row>
    <row r="490" ht="15.75" customHeight="1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"/>
      <c r="Y490" s="109"/>
      <c r="Z490" s="109"/>
      <c r="AA490" s="109"/>
      <c r="AB490" s="109"/>
      <c r="AC490" s="109"/>
      <c r="AD490" s="109"/>
      <c r="AE490" s="109"/>
      <c r="AF490" s="109"/>
      <c r="AG490" s="109"/>
      <c r="AH490" s="109"/>
      <c r="AI490" s="109"/>
      <c r="AJ490" s="109"/>
      <c r="AK490" s="109"/>
      <c r="AL490" s="109"/>
      <c r="AM490" s="109"/>
      <c r="AN490" s="109"/>
      <c r="AO490" s="109"/>
      <c r="AP490" s="109"/>
      <c r="AQ490" s="109"/>
      <c r="AR490" s="109"/>
      <c r="AS490" s="109"/>
      <c r="AT490" s="109"/>
      <c r="AU490" s="109"/>
      <c r="AV490" s="109"/>
      <c r="AW490" s="109"/>
      <c r="AX490" s="109"/>
    </row>
    <row r="491" ht="15.75" customHeight="1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"/>
      <c r="Y491" s="109"/>
      <c r="Z491" s="109"/>
      <c r="AA491" s="109"/>
      <c r="AB491" s="109"/>
      <c r="AC491" s="109"/>
      <c r="AD491" s="109"/>
      <c r="AE491" s="109"/>
      <c r="AF491" s="109"/>
      <c r="AG491" s="109"/>
      <c r="AH491" s="109"/>
      <c r="AI491" s="109"/>
      <c r="AJ491" s="109"/>
      <c r="AK491" s="109"/>
      <c r="AL491" s="109"/>
      <c r="AM491" s="109"/>
      <c r="AN491" s="109"/>
      <c r="AO491" s="109"/>
      <c r="AP491" s="109"/>
      <c r="AQ491" s="109"/>
      <c r="AR491" s="109"/>
      <c r="AS491" s="109"/>
      <c r="AT491" s="109"/>
      <c r="AU491" s="109"/>
      <c r="AV491" s="109"/>
      <c r="AW491" s="109"/>
      <c r="AX491" s="109"/>
    </row>
    <row r="492" ht="15.75" customHeight="1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"/>
      <c r="Y492" s="109"/>
      <c r="Z492" s="109"/>
      <c r="AA492" s="109"/>
      <c r="AB492" s="109"/>
      <c r="AC492" s="109"/>
      <c r="AD492" s="109"/>
      <c r="AE492" s="109"/>
      <c r="AF492" s="109"/>
      <c r="AG492" s="109"/>
      <c r="AH492" s="109"/>
      <c r="AI492" s="109"/>
      <c r="AJ492" s="109"/>
      <c r="AK492" s="109"/>
      <c r="AL492" s="109"/>
      <c r="AM492" s="109"/>
      <c r="AN492" s="109"/>
      <c r="AO492" s="109"/>
      <c r="AP492" s="109"/>
      <c r="AQ492" s="109"/>
      <c r="AR492" s="109"/>
      <c r="AS492" s="109"/>
      <c r="AT492" s="109"/>
      <c r="AU492" s="109"/>
      <c r="AV492" s="109"/>
      <c r="AW492" s="109"/>
      <c r="AX492" s="109"/>
    </row>
    <row r="493" ht="15.75" customHeight="1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"/>
      <c r="Y493" s="109"/>
      <c r="Z493" s="109"/>
      <c r="AA493" s="109"/>
      <c r="AB493" s="109"/>
      <c r="AC493" s="109"/>
      <c r="AD493" s="109"/>
      <c r="AE493" s="109"/>
      <c r="AF493" s="109"/>
      <c r="AG493" s="109"/>
      <c r="AH493" s="109"/>
      <c r="AI493" s="109"/>
      <c r="AJ493" s="109"/>
      <c r="AK493" s="109"/>
      <c r="AL493" s="109"/>
      <c r="AM493" s="109"/>
      <c r="AN493" s="109"/>
      <c r="AO493" s="109"/>
      <c r="AP493" s="109"/>
      <c r="AQ493" s="109"/>
      <c r="AR493" s="109"/>
      <c r="AS493" s="109"/>
      <c r="AT493" s="109"/>
      <c r="AU493" s="109"/>
      <c r="AV493" s="109"/>
      <c r="AW493" s="109"/>
      <c r="AX493" s="109"/>
    </row>
    <row r="494" ht="15.75" customHeight="1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"/>
      <c r="Y494" s="109"/>
      <c r="Z494" s="109"/>
      <c r="AA494" s="109"/>
      <c r="AB494" s="109"/>
      <c r="AC494" s="109"/>
      <c r="AD494" s="109"/>
      <c r="AE494" s="109"/>
      <c r="AF494" s="109"/>
      <c r="AG494" s="109"/>
      <c r="AH494" s="109"/>
      <c r="AI494" s="109"/>
      <c r="AJ494" s="109"/>
      <c r="AK494" s="109"/>
      <c r="AL494" s="109"/>
      <c r="AM494" s="109"/>
      <c r="AN494" s="109"/>
      <c r="AO494" s="109"/>
      <c r="AP494" s="109"/>
      <c r="AQ494" s="109"/>
      <c r="AR494" s="109"/>
      <c r="AS494" s="109"/>
      <c r="AT494" s="109"/>
      <c r="AU494" s="109"/>
      <c r="AV494" s="109"/>
      <c r="AW494" s="109"/>
      <c r="AX494" s="109"/>
    </row>
    <row r="495" ht="15.75" customHeight="1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"/>
      <c r="Y495" s="109"/>
      <c r="Z495" s="109"/>
      <c r="AA495" s="109"/>
      <c r="AB495" s="109"/>
      <c r="AC495" s="109"/>
      <c r="AD495" s="109"/>
      <c r="AE495" s="109"/>
      <c r="AF495" s="109"/>
      <c r="AG495" s="109"/>
      <c r="AH495" s="109"/>
      <c r="AI495" s="109"/>
      <c r="AJ495" s="109"/>
      <c r="AK495" s="109"/>
      <c r="AL495" s="109"/>
      <c r="AM495" s="109"/>
      <c r="AN495" s="109"/>
      <c r="AO495" s="109"/>
      <c r="AP495" s="109"/>
      <c r="AQ495" s="109"/>
      <c r="AR495" s="109"/>
      <c r="AS495" s="109"/>
      <c r="AT495" s="109"/>
      <c r="AU495" s="109"/>
      <c r="AV495" s="109"/>
      <c r="AW495" s="109"/>
      <c r="AX495" s="109"/>
    </row>
    <row r="496" ht="15.75" customHeight="1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"/>
      <c r="Y496" s="109"/>
      <c r="Z496" s="109"/>
      <c r="AA496" s="109"/>
      <c r="AB496" s="109"/>
      <c r="AC496" s="109"/>
      <c r="AD496" s="109"/>
      <c r="AE496" s="109"/>
      <c r="AF496" s="109"/>
      <c r="AG496" s="109"/>
      <c r="AH496" s="109"/>
      <c r="AI496" s="109"/>
      <c r="AJ496" s="109"/>
      <c r="AK496" s="109"/>
      <c r="AL496" s="109"/>
      <c r="AM496" s="109"/>
      <c r="AN496" s="109"/>
      <c r="AO496" s="109"/>
      <c r="AP496" s="109"/>
      <c r="AQ496" s="109"/>
      <c r="AR496" s="109"/>
      <c r="AS496" s="109"/>
      <c r="AT496" s="109"/>
      <c r="AU496" s="109"/>
      <c r="AV496" s="109"/>
      <c r="AW496" s="109"/>
      <c r="AX496" s="109"/>
    </row>
    <row r="497" ht="15.75" customHeight="1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"/>
      <c r="Y497" s="109"/>
      <c r="Z497" s="109"/>
      <c r="AA497" s="109"/>
      <c r="AB497" s="109"/>
      <c r="AC497" s="109"/>
      <c r="AD497" s="109"/>
      <c r="AE497" s="109"/>
      <c r="AF497" s="109"/>
      <c r="AG497" s="109"/>
      <c r="AH497" s="109"/>
      <c r="AI497" s="109"/>
      <c r="AJ497" s="109"/>
      <c r="AK497" s="109"/>
      <c r="AL497" s="109"/>
      <c r="AM497" s="109"/>
      <c r="AN497" s="109"/>
      <c r="AO497" s="109"/>
      <c r="AP497" s="109"/>
      <c r="AQ497" s="109"/>
      <c r="AR497" s="109"/>
      <c r="AS497" s="109"/>
      <c r="AT497" s="109"/>
      <c r="AU497" s="109"/>
      <c r="AV497" s="109"/>
      <c r="AW497" s="109"/>
      <c r="AX497" s="109"/>
    </row>
    <row r="498" ht="15.75" customHeight="1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"/>
      <c r="Y498" s="109"/>
      <c r="Z498" s="109"/>
      <c r="AA498" s="109"/>
      <c r="AB498" s="109"/>
      <c r="AC498" s="109"/>
      <c r="AD498" s="109"/>
      <c r="AE498" s="109"/>
      <c r="AF498" s="109"/>
      <c r="AG498" s="109"/>
      <c r="AH498" s="109"/>
      <c r="AI498" s="109"/>
      <c r="AJ498" s="109"/>
      <c r="AK498" s="109"/>
      <c r="AL498" s="109"/>
      <c r="AM498" s="109"/>
      <c r="AN498" s="109"/>
      <c r="AO498" s="109"/>
      <c r="AP498" s="109"/>
      <c r="AQ498" s="109"/>
      <c r="AR498" s="109"/>
      <c r="AS498" s="109"/>
      <c r="AT498" s="109"/>
      <c r="AU498" s="109"/>
      <c r="AV498" s="109"/>
      <c r="AW498" s="109"/>
      <c r="AX498" s="109"/>
    </row>
  </sheetData>
  <mergeCells count="475">
    <mergeCell ref="T17:U17"/>
    <mergeCell ref="V17:X17"/>
    <mergeCell ref="L16:L17"/>
    <mergeCell ref="M16:M17"/>
    <mergeCell ref="O16:T16"/>
    <mergeCell ref="V16:X16"/>
    <mergeCell ref="AN16:AN17"/>
    <mergeCell ref="AO16:AO17"/>
    <mergeCell ref="O17:S17"/>
    <mergeCell ref="L20:L21"/>
    <mergeCell ref="M20:M21"/>
    <mergeCell ref="AN20:AN21"/>
    <mergeCell ref="AO20:AO21"/>
    <mergeCell ref="L18:L19"/>
    <mergeCell ref="M18:M19"/>
    <mergeCell ref="O18:R19"/>
    <mergeCell ref="S18:S19"/>
    <mergeCell ref="T18:X19"/>
    <mergeCell ref="AN18:AN19"/>
    <mergeCell ref="AO18:AO19"/>
    <mergeCell ref="L22:L23"/>
    <mergeCell ref="L24:L25"/>
    <mergeCell ref="M24:M25"/>
    <mergeCell ref="O24:T24"/>
    <mergeCell ref="V24:X24"/>
    <mergeCell ref="O25:S25"/>
    <mergeCell ref="T25:U25"/>
    <mergeCell ref="V25:X25"/>
    <mergeCell ref="AN24:AN25"/>
    <mergeCell ref="AO24:AO25"/>
    <mergeCell ref="M22:M23"/>
    <mergeCell ref="O22:P23"/>
    <mergeCell ref="Q22:S23"/>
    <mergeCell ref="T22:T23"/>
    <mergeCell ref="U22:X23"/>
    <mergeCell ref="AN22:AN23"/>
    <mergeCell ref="AO22:AO23"/>
    <mergeCell ref="L28:L29"/>
    <mergeCell ref="M28:M29"/>
    <mergeCell ref="AN28:AN29"/>
    <mergeCell ref="AO28:AO29"/>
    <mergeCell ref="L26:L27"/>
    <mergeCell ref="M26:M27"/>
    <mergeCell ref="O26:R27"/>
    <mergeCell ref="S26:S27"/>
    <mergeCell ref="T26:X27"/>
    <mergeCell ref="AN26:AN27"/>
    <mergeCell ref="AO26:AO27"/>
    <mergeCell ref="O3:V4"/>
    <mergeCell ref="W3:W4"/>
    <mergeCell ref="O5:V6"/>
    <mergeCell ref="W5:W6"/>
    <mergeCell ref="B2:G2"/>
    <mergeCell ref="H2:M2"/>
    <mergeCell ref="O2:V2"/>
    <mergeCell ref="B3:E3"/>
    <mergeCell ref="F3:G3"/>
    <mergeCell ref="H3:K3"/>
    <mergeCell ref="L3:M3"/>
    <mergeCell ref="H7:K7"/>
    <mergeCell ref="L7:M7"/>
    <mergeCell ref="O7:V7"/>
    <mergeCell ref="H8:K8"/>
    <mergeCell ref="I9:M9"/>
    <mergeCell ref="AN12:AN13"/>
    <mergeCell ref="AO12:AO13"/>
    <mergeCell ref="B4:E4"/>
    <mergeCell ref="F4:G4"/>
    <mergeCell ref="H4:K4"/>
    <mergeCell ref="B5:E5"/>
    <mergeCell ref="F5:G5"/>
    <mergeCell ref="H5:K5"/>
    <mergeCell ref="H6:K6"/>
    <mergeCell ref="L12:L13"/>
    <mergeCell ref="L14:L15"/>
    <mergeCell ref="O14:P15"/>
    <mergeCell ref="Q14:S15"/>
    <mergeCell ref="T14:T15"/>
    <mergeCell ref="U14:X15"/>
    <mergeCell ref="AN14:AN15"/>
    <mergeCell ref="AO14:AO15"/>
    <mergeCell ref="B6:E6"/>
    <mergeCell ref="B7:E7"/>
    <mergeCell ref="B8:E8"/>
    <mergeCell ref="B9:E9"/>
    <mergeCell ref="B12:B13"/>
    <mergeCell ref="M12:M13"/>
    <mergeCell ref="M14:M15"/>
    <mergeCell ref="B14:B15"/>
    <mergeCell ref="B16:B17"/>
    <mergeCell ref="B18:B19"/>
    <mergeCell ref="B20:B21"/>
    <mergeCell ref="B22:B23"/>
    <mergeCell ref="B24:B25"/>
    <mergeCell ref="B26:B27"/>
    <mergeCell ref="L42:L43"/>
    <mergeCell ref="M42:M43"/>
    <mergeCell ref="L30:L31"/>
    <mergeCell ref="L32:L33"/>
    <mergeCell ref="L34:L35"/>
    <mergeCell ref="M34:M35"/>
    <mergeCell ref="L36:L37"/>
    <mergeCell ref="M36:M37"/>
    <mergeCell ref="L38:L39"/>
    <mergeCell ref="M38:M39"/>
    <mergeCell ref="O38:P39"/>
    <mergeCell ref="Q38:S39"/>
    <mergeCell ref="T38:T39"/>
    <mergeCell ref="U38:X39"/>
    <mergeCell ref="O40:T40"/>
    <mergeCell ref="V40:X40"/>
    <mergeCell ref="M40:M41"/>
    <mergeCell ref="O41:S41"/>
    <mergeCell ref="T41:U41"/>
    <mergeCell ref="V41:X41"/>
    <mergeCell ref="O42:R43"/>
    <mergeCell ref="S42:S43"/>
    <mergeCell ref="T42:X43"/>
    <mergeCell ref="T49:U49"/>
    <mergeCell ref="V49:X49"/>
    <mergeCell ref="M50:M51"/>
    <mergeCell ref="O50:R51"/>
    <mergeCell ref="S50:S51"/>
    <mergeCell ref="T50:X51"/>
    <mergeCell ref="B46:B47"/>
    <mergeCell ref="B48:B49"/>
    <mergeCell ref="O48:T48"/>
    <mergeCell ref="V48:X48"/>
    <mergeCell ref="O49:S49"/>
    <mergeCell ref="B50:B51"/>
    <mergeCell ref="B52:B53"/>
    <mergeCell ref="L54:L55"/>
    <mergeCell ref="L56:L57"/>
    <mergeCell ref="L58:L59"/>
    <mergeCell ref="M58:M59"/>
    <mergeCell ref="O58:R59"/>
    <mergeCell ref="S58:S59"/>
    <mergeCell ref="T58:X59"/>
    <mergeCell ref="Q70:S71"/>
    <mergeCell ref="O72:T72"/>
    <mergeCell ref="O74:R75"/>
    <mergeCell ref="S74:S75"/>
    <mergeCell ref="T74:X75"/>
    <mergeCell ref="L70:L71"/>
    <mergeCell ref="M70:M71"/>
    <mergeCell ref="O70:P71"/>
    <mergeCell ref="T70:T71"/>
    <mergeCell ref="U70:X71"/>
    <mergeCell ref="M72:M73"/>
    <mergeCell ref="V72:X72"/>
    <mergeCell ref="B54:B55"/>
    <mergeCell ref="M54:M55"/>
    <mergeCell ref="O54:P55"/>
    <mergeCell ref="T54:T55"/>
    <mergeCell ref="U54:X55"/>
    <mergeCell ref="B56:B57"/>
    <mergeCell ref="M56:M57"/>
    <mergeCell ref="V56:X56"/>
    <mergeCell ref="AN56:AN57"/>
    <mergeCell ref="AO56:AO57"/>
    <mergeCell ref="V57:X57"/>
    <mergeCell ref="AN58:AN59"/>
    <mergeCell ref="AO58:AO59"/>
    <mergeCell ref="AO60:AO61"/>
    <mergeCell ref="AN60:AN61"/>
    <mergeCell ref="AN62:AN63"/>
    <mergeCell ref="AO62:AO63"/>
    <mergeCell ref="AN64:AN65"/>
    <mergeCell ref="AO64:AO65"/>
    <mergeCell ref="AN66:AN67"/>
    <mergeCell ref="AO66:AO67"/>
    <mergeCell ref="AN74:AN75"/>
    <mergeCell ref="AN76:AN77"/>
    <mergeCell ref="AN78:AN79"/>
    <mergeCell ref="AN80:AN81"/>
    <mergeCell ref="AO76:AO77"/>
    <mergeCell ref="AO78:AO79"/>
    <mergeCell ref="AO80:AO81"/>
    <mergeCell ref="AN68:AN69"/>
    <mergeCell ref="AO68:AO69"/>
    <mergeCell ref="AN70:AN71"/>
    <mergeCell ref="AO70:AO71"/>
    <mergeCell ref="AN72:AN73"/>
    <mergeCell ref="AO72:AO73"/>
    <mergeCell ref="AO74:AO75"/>
    <mergeCell ref="O73:S73"/>
    <mergeCell ref="O81:S81"/>
    <mergeCell ref="T81:U81"/>
    <mergeCell ref="V81:X81"/>
    <mergeCell ref="L96:L97"/>
    <mergeCell ref="M96:M97"/>
    <mergeCell ref="L88:L89"/>
    <mergeCell ref="M88:M89"/>
    <mergeCell ref="L90:L91"/>
    <mergeCell ref="M90:M91"/>
    <mergeCell ref="L92:L93"/>
    <mergeCell ref="M92:M93"/>
    <mergeCell ref="L94:L95"/>
    <mergeCell ref="O78:P79"/>
    <mergeCell ref="Q78:S79"/>
    <mergeCell ref="T78:T79"/>
    <mergeCell ref="U78:X79"/>
    <mergeCell ref="O80:T80"/>
    <mergeCell ref="V80:X80"/>
    <mergeCell ref="L80:L81"/>
    <mergeCell ref="M80:M81"/>
    <mergeCell ref="L82:L83"/>
    <mergeCell ref="M82:M83"/>
    <mergeCell ref="O82:R83"/>
    <mergeCell ref="S82:S83"/>
    <mergeCell ref="T82:X83"/>
    <mergeCell ref="L72:L73"/>
    <mergeCell ref="L74:L75"/>
    <mergeCell ref="M74:M75"/>
    <mergeCell ref="L76:L77"/>
    <mergeCell ref="M76:M77"/>
    <mergeCell ref="L78:L79"/>
    <mergeCell ref="M78:M79"/>
    <mergeCell ref="L84:L85"/>
    <mergeCell ref="M84:M85"/>
    <mergeCell ref="L86:L87"/>
    <mergeCell ref="M86:M87"/>
    <mergeCell ref="O86:P87"/>
    <mergeCell ref="T86:T87"/>
    <mergeCell ref="U86:X87"/>
    <mergeCell ref="S90:S91"/>
    <mergeCell ref="T90:X91"/>
    <mergeCell ref="Q86:S87"/>
    <mergeCell ref="O88:T88"/>
    <mergeCell ref="V88:X88"/>
    <mergeCell ref="O89:S89"/>
    <mergeCell ref="T89:U89"/>
    <mergeCell ref="V89:X89"/>
    <mergeCell ref="O90:R91"/>
    <mergeCell ref="O97:S97"/>
    <mergeCell ref="T97:U97"/>
    <mergeCell ref="V97:X97"/>
    <mergeCell ref="M94:M95"/>
    <mergeCell ref="O94:P95"/>
    <mergeCell ref="Q94:S95"/>
    <mergeCell ref="T94:T95"/>
    <mergeCell ref="U94:X95"/>
    <mergeCell ref="O96:T96"/>
    <mergeCell ref="V96:X96"/>
    <mergeCell ref="T46:T47"/>
    <mergeCell ref="U46:X47"/>
    <mergeCell ref="L40:L41"/>
    <mergeCell ref="L44:L45"/>
    <mergeCell ref="M44:M45"/>
    <mergeCell ref="L46:L47"/>
    <mergeCell ref="M46:M47"/>
    <mergeCell ref="O46:P47"/>
    <mergeCell ref="Q46:S47"/>
    <mergeCell ref="Q30:S31"/>
    <mergeCell ref="O32:T32"/>
    <mergeCell ref="V32:X32"/>
    <mergeCell ref="O34:R35"/>
    <mergeCell ref="S34:S35"/>
    <mergeCell ref="T34:X35"/>
    <mergeCell ref="B28:B29"/>
    <mergeCell ref="B30:B31"/>
    <mergeCell ref="M30:M31"/>
    <mergeCell ref="O30:P31"/>
    <mergeCell ref="T30:T31"/>
    <mergeCell ref="M32:M33"/>
    <mergeCell ref="O33:S33"/>
    <mergeCell ref="U30:X31"/>
    <mergeCell ref="AN30:AN31"/>
    <mergeCell ref="AO30:AO31"/>
    <mergeCell ref="AN32:AN33"/>
    <mergeCell ref="AO32:AO33"/>
    <mergeCell ref="T33:U33"/>
    <mergeCell ref="V33:X33"/>
    <mergeCell ref="AN40:AN41"/>
    <mergeCell ref="AN42:AN43"/>
    <mergeCell ref="AN44:AN45"/>
    <mergeCell ref="AN46:AN47"/>
    <mergeCell ref="AN48:AN49"/>
    <mergeCell ref="AN50:AN51"/>
    <mergeCell ref="AN52:AN53"/>
    <mergeCell ref="AN54:AN55"/>
    <mergeCell ref="AO42:AO43"/>
    <mergeCell ref="AO44:AO45"/>
    <mergeCell ref="AO46:AO47"/>
    <mergeCell ref="AO48:AO49"/>
    <mergeCell ref="AO50:AO51"/>
    <mergeCell ref="AO52:AO53"/>
    <mergeCell ref="AO54:AO55"/>
    <mergeCell ref="AN34:AN35"/>
    <mergeCell ref="AO34:AO35"/>
    <mergeCell ref="AN36:AN37"/>
    <mergeCell ref="AO36:AO37"/>
    <mergeCell ref="AN38:AN39"/>
    <mergeCell ref="AO38:AO39"/>
    <mergeCell ref="AO40:AO41"/>
    <mergeCell ref="B32:B33"/>
    <mergeCell ref="B34:B35"/>
    <mergeCell ref="B36:B37"/>
    <mergeCell ref="B38:B39"/>
    <mergeCell ref="B40:B41"/>
    <mergeCell ref="B42:B43"/>
    <mergeCell ref="B44:B45"/>
    <mergeCell ref="Q62:S63"/>
    <mergeCell ref="T62:T63"/>
    <mergeCell ref="U62:X63"/>
    <mergeCell ref="L64:L65"/>
    <mergeCell ref="M64:M65"/>
    <mergeCell ref="O64:T64"/>
    <mergeCell ref="V64:X64"/>
    <mergeCell ref="L66:L67"/>
    <mergeCell ref="M66:M67"/>
    <mergeCell ref="O66:R67"/>
    <mergeCell ref="S66:S67"/>
    <mergeCell ref="T66:X67"/>
    <mergeCell ref="L68:L69"/>
    <mergeCell ref="M68:M69"/>
    <mergeCell ref="B58:B59"/>
    <mergeCell ref="B60:B61"/>
    <mergeCell ref="B62:B63"/>
    <mergeCell ref="B64:B65"/>
    <mergeCell ref="B66:B67"/>
    <mergeCell ref="B68:B69"/>
    <mergeCell ref="B70:B71"/>
    <mergeCell ref="B72:B73"/>
    <mergeCell ref="B74:B75"/>
    <mergeCell ref="B76:B77"/>
    <mergeCell ref="B78:B79"/>
    <mergeCell ref="B80:B81"/>
    <mergeCell ref="B82:B83"/>
    <mergeCell ref="B84:B85"/>
    <mergeCell ref="B86:B87"/>
    <mergeCell ref="B88:B89"/>
    <mergeCell ref="B90:B91"/>
    <mergeCell ref="B92:B93"/>
    <mergeCell ref="B94:B95"/>
    <mergeCell ref="B96:B97"/>
    <mergeCell ref="B98:B99"/>
    <mergeCell ref="B114:B115"/>
    <mergeCell ref="B116:B117"/>
    <mergeCell ref="B118:B119"/>
    <mergeCell ref="B120:B121"/>
    <mergeCell ref="B122:B123"/>
    <mergeCell ref="B100:B101"/>
    <mergeCell ref="B102:B103"/>
    <mergeCell ref="B104:B105"/>
    <mergeCell ref="B106:B107"/>
    <mergeCell ref="B108:B109"/>
    <mergeCell ref="B110:B111"/>
    <mergeCell ref="B112:B113"/>
    <mergeCell ref="O57:S57"/>
    <mergeCell ref="T57:U57"/>
    <mergeCell ref="Q54:S55"/>
    <mergeCell ref="O56:T56"/>
    <mergeCell ref="O65:S65"/>
    <mergeCell ref="T65:U65"/>
    <mergeCell ref="V65:X65"/>
    <mergeCell ref="T73:U73"/>
    <mergeCell ref="V73:X73"/>
    <mergeCell ref="T102:T103"/>
    <mergeCell ref="T110:T111"/>
    <mergeCell ref="T118:T119"/>
    <mergeCell ref="T98:X99"/>
    <mergeCell ref="U102:X103"/>
    <mergeCell ref="O104:T104"/>
    <mergeCell ref="V104:X104"/>
    <mergeCell ref="T105:U105"/>
    <mergeCell ref="V105:X105"/>
    <mergeCell ref="T106:X107"/>
    <mergeCell ref="O120:T120"/>
    <mergeCell ref="V120:X120"/>
    <mergeCell ref="T121:U121"/>
    <mergeCell ref="V121:X121"/>
    <mergeCell ref="T122:X123"/>
    <mergeCell ref="U110:X111"/>
    <mergeCell ref="O112:T112"/>
    <mergeCell ref="V112:X112"/>
    <mergeCell ref="T113:U113"/>
    <mergeCell ref="V113:X113"/>
    <mergeCell ref="T114:X115"/>
    <mergeCell ref="U118:X119"/>
    <mergeCell ref="AN82:AN83"/>
    <mergeCell ref="AO82:AO83"/>
    <mergeCell ref="AN84:AN85"/>
    <mergeCell ref="AO84:AO85"/>
    <mergeCell ref="AN86:AN87"/>
    <mergeCell ref="AO86:AO87"/>
    <mergeCell ref="AO88:AO89"/>
    <mergeCell ref="AN88:AN89"/>
    <mergeCell ref="AN90:AN91"/>
    <mergeCell ref="AN92:AN93"/>
    <mergeCell ref="AN94:AN95"/>
    <mergeCell ref="AN96:AN97"/>
    <mergeCell ref="AN98:AN99"/>
    <mergeCell ref="AN100:AN101"/>
    <mergeCell ref="AO90:AO91"/>
    <mergeCell ref="AO92:AO93"/>
    <mergeCell ref="AO94:AO95"/>
    <mergeCell ref="AO96:AO97"/>
    <mergeCell ref="AO98:AO99"/>
    <mergeCell ref="AO100:AO101"/>
    <mergeCell ref="AO102:AO103"/>
    <mergeCell ref="AN116:AN117"/>
    <mergeCell ref="AN118:AN119"/>
    <mergeCell ref="AN120:AN121"/>
    <mergeCell ref="AN122:AN123"/>
    <mergeCell ref="AN102:AN103"/>
    <mergeCell ref="AN104:AN105"/>
    <mergeCell ref="AN106:AN107"/>
    <mergeCell ref="AN108:AN109"/>
    <mergeCell ref="AN110:AN111"/>
    <mergeCell ref="AN112:AN113"/>
    <mergeCell ref="AN114:AN115"/>
    <mergeCell ref="AO118:AO119"/>
    <mergeCell ref="AO120:AO121"/>
    <mergeCell ref="AO122:AO123"/>
    <mergeCell ref="AO104:AO105"/>
    <mergeCell ref="AO106:AO107"/>
    <mergeCell ref="AO108:AO109"/>
    <mergeCell ref="AO110:AO111"/>
    <mergeCell ref="AO112:AO113"/>
    <mergeCell ref="AO114:AO115"/>
    <mergeCell ref="AO116:AO117"/>
    <mergeCell ref="M120:M121"/>
    <mergeCell ref="O121:S121"/>
    <mergeCell ref="L122:L123"/>
    <mergeCell ref="M122:M123"/>
    <mergeCell ref="O122:R123"/>
    <mergeCell ref="S122:S123"/>
    <mergeCell ref="L116:L117"/>
    <mergeCell ref="M116:M117"/>
    <mergeCell ref="L118:L119"/>
    <mergeCell ref="M118:M119"/>
    <mergeCell ref="O118:P119"/>
    <mergeCell ref="Q118:S119"/>
    <mergeCell ref="L120:L121"/>
    <mergeCell ref="L48:L49"/>
    <mergeCell ref="L50:L51"/>
    <mergeCell ref="L60:L61"/>
    <mergeCell ref="M60:M61"/>
    <mergeCell ref="L62:L63"/>
    <mergeCell ref="M62:M63"/>
    <mergeCell ref="O62:P63"/>
    <mergeCell ref="M48:M49"/>
    <mergeCell ref="L52:L53"/>
    <mergeCell ref="M52:M53"/>
    <mergeCell ref="L98:L99"/>
    <mergeCell ref="M98:M99"/>
    <mergeCell ref="O98:R99"/>
    <mergeCell ref="S98:S99"/>
    <mergeCell ref="M104:M105"/>
    <mergeCell ref="O105:S105"/>
    <mergeCell ref="L100:L101"/>
    <mergeCell ref="M100:M101"/>
    <mergeCell ref="L102:L103"/>
    <mergeCell ref="M102:M103"/>
    <mergeCell ref="O102:P103"/>
    <mergeCell ref="Q102:S103"/>
    <mergeCell ref="L104:L105"/>
    <mergeCell ref="L106:L107"/>
    <mergeCell ref="M106:M107"/>
    <mergeCell ref="O106:R107"/>
    <mergeCell ref="S106:S107"/>
    <mergeCell ref="L108:L109"/>
    <mergeCell ref="M108:M109"/>
    <mergeCell ref="L110:L111"/>
    <mergeCell ref="Q110:S111"/>
    <mergeCell ref="O114:R115"/>
    <mergeCell ref="S114:S115"/>
    <mergeCell ref="M110:M111"/>
    <mergeCell ref="O110:P111"/>
    <mergeCell ref="L112:L113"/>
    <mergeCell ref="M112:M113"/>
    <mergeCell ref="O113:S113"/>
    <mergeCell ref="L114:L115"/>
    <mergeCell ref="M114:M115"/>
  </mergeCells>
  <conditionalFormatting sqref="O18:Y19 O26:Y27">
    <cfRule type="expression" dxfId="0" priority="1">
      <formula>$S$18=""</formula>
    </cfRule>
  </conditionalFormatting>
  <conditionalFormatting sqref="Y34:Y35">
    <cfRule type="expression" dxfId="1" priority="2">
      <formula>$S$34=""</formula>
    </cfRule>
  </conditionalFormatting>
  <conditionalFormatting sqref="Y34:Y35">
    <cfRule type="expression" dxfId="1" priority="3">
      <formula>$S$18=""</formula>
    </cfRule>
  </conditionalFormatting>
  <conditionalFormatting sqref="Y42:Y43">
    <cfRule type="expression" dxfId="1" priority="4">
      <formula>$S$42=""</formula>
    </cfRule>
  </conditionalFormatting>
  <conditionalFormatting sqref="Y42:Y43">
    <cfRule type="expression" dxfId="1" priority="5">
      <formula>$S$18=""</formula>
    </cfRule>
  </conditionalFormatting>
  <conditionalFormatting sqref="Y50:Y51">
    <cfRule type="expression" dxfId="1" priority="6">
      <formula>$S$50=""</formula>
    </cfRule>
  </conditionalFormatting>
  <conditionalFormatting sqref="Y50:Y51">
    <cfRule type="expression" dxfId="1" priority="7">
      <formula>$S$18=""</formula>
    </cfRule>
  </conditionalFormatting>
  <conditionalFormatting sqref="Y58:Y59">
    <cfRule type="expression" dxfId="1" priority="8">
      <formula>$S$58=""</formula>
    </cfRule>
  </conditionalFormatting>
  <conditionalFormatting sqref="Y58:Y59">
    <cfRule type="expression" dxfId="1" priority="9">
      <formula>$S$18=""</formula>
    </cfRule>
  </conditionalFormatting>
  <conditionalFormatting sqref="Y66:Y67">
    <cfRule type="expression" dxfId="1" priority="10">
      <formula>$S$66=""</formula>
    </cfRule>
  </conditionalFormatting>
  <conditionalFormatting sqref="Y66:Y67">
    <cfRule type="expression" dxfId="1" priority="11">
      <formula>$S$18=""</formula>
    </cfRule>
  </conditionalFormatting>
  <conditionalFormatting sqref="Y74:Y75">
    <cfRule type="expression" dxfId="1" priority="12">
      <formula>$S$74=""</formula>
    </cfRule>
  </conditionalFormatting>
  <conditionalFormatting sqref="Y74:Y75">
    <cfRule type="expression" dxfId="1" priority="13">
      <formula>$S$18=""</formula>
    </cfRule>
  </conditionalFormatting>
  <conditionalFormatting sqref="Y82:Y83">
    <cfRule type="expression" dxfId="1" priority="14">
      <formula>$S$82=""</formula>
    </cfRule>
  </conditionalFormatting>
  <conditionalFormatting sqref="Y82:Y83">
    <cfRule type="expression" dxfId="1" priority="15">
      <formula>$S$18=""</formula>
    </cfRule>
  </conditionalFormatting>
  <conditionalFormatting sqref="Y90:Y91">
    <cfRule type="expression" dxfId="1" priority="16">
      <formula>$S$90=""</formula>
    </cfRule>
  </conditionalFormatting>
  <conditionalFormatting sqref="Y90:Y91">
    <cfRule type="expression" dxfId="1" priority="17">
      <formula>$S$18=""</formula>
    </cfRule>
  </conditionalFormatting>
  <conditionalFormatting sqref="Y98:Y99">
    <cfRule type="expression" dxfId="1" priority="18">
      <formula>$S$98=""</formula>
    </cfRule>
  </conditionalFormatting>
  <conditionalFormatting sqref="Y98:Y99">
    <cfRule type="expression" dxfId="1" priority="19">
      <formula>""</formula>
    </cfRule>
  </conditionalFormatting>
  <conditionalFormatting sqref="Y98:Y99">
    <cfRule type="expression" dxfId="1" priority="20">
      <formula>$S$18=""</formula>
    </cfRule>
  </conditionalFormatting>
  <conditionalFormatting sqref="Y106:Y107">
    <cfRule type="expression" dxfId="1" priority="21">
      <formula>$S$106=""</formula>
    </cfRule>
  </conditionalFormatting>
  <conditionalFormatting sqref="Y106:Y107">
    <cfRule type="expression" dxfId="1" priority="22">
      <formula>$S$18=""</formula>
    </cfRule>
  </conditionalFormatting>
  <conditionalFormatting sqref="Y114:Y115">
    <cfRule type="expression" dxfId="1" priority="23">
      <formula>$S$114=""</formula>
    </cfRule>
  </conditionalFormatting>
  <conditionalFormatting sqref="Y114:Y115">
    <cfRule type="expression" dxfId="1" priority="24">
      <formula>$S$18=""</formula>
    </cfRule>
  </conditionalFormatting>
  <conditionalFormatting sqref="Y122:Y123">
    <cfRule type="expression" dxfId="1" priority="25">
      <formula>$S$122=""</formula>
    </cfRule>
  </conditionalFormatting>
  <conditionalFormatting sqref="Y122:Y123">
    <cfRule type="expression" dxfId="1" priority="26">
      <formula>$S$18=""</formula>
    </cfRule>
  </conditionalFormatting>
  <conditionalFormatting sqref="O26:Y27">
    <cfRule type="expression" dxfId="1" priority="27">
      <formula>$S$26=""</formula>
    </cfRule>
  </conditionalFormatting>
  <conditionalFormatting sqref="L4">
    <cfRule type="cellIs" dxfId="2" priority="28" operator="greaterThan">
      <formula>$F$6</formula>
    </cfRule>
  </conditionalFormatting>
  <conditionalFormatting sqref="L4">
    <cfRule type="cellIs" dxfId="3" priority="29" operator="lessThan">
      <formula>$F$6</formula>
    </cfRule>
  </conditionalFormatting>
  <conditionalFormatting sqref="L5">
    <cfRule type="expression" dxfId="2" priority="30">
      <formula>$L$4&gt;$F$6</formula>
    </cfRule>
  </conditionalFormatting>
  <conditionalFormatting sqref="L5">
    <cfRule type="expression" dxfId="3" priority="31">
      <formula>$F$6&gt;$L$4</formula>
    </cfRule>
  </conditionalFormatting>
  <conditionalFormatting sqref="B8:E8">
    <cfRule type="expression" dxfId="4" priority="32">
      <formula>$F$6&lt;$F$7</formula>
    </cfRule>
  </conditionalFormatting>
  <conditionalFormatting sqref="B8:E8">
    <cfRule type="expression" dxfId="5" priority="33">
      <formula>$F$7&lt;$F$6</formula>
    </cfRule>
  </conditionalFormatting>
  <conditionalFormatting sqref="L12:L123">
    <cfRule type="cellIs" dxfId="2" priority="34" operator="greaterThan">
      <formula>0</formula>
    </cfRule>
  </conditionalFormatting>
  <conditionalFormatting sqref="H9">
    <cfRule type="expression" dxfId="6" priority="35">
      <formula>$A$126=2</formula>
    </cfRule>
  </conditionalFormatting>
  <conditionalFormatting sqref="H9">
    <cfRule type="cellIs" dxfId="7" priority="36" operator="lessThan">
      <formula>0.5</formula>
    </cfRule>
  </conditionalFormatting>
  <conditionalFormatting sqref="H9">
    <cfRule type="expression" dxfId="8" priority="37">
      <formula>0</formula>
    </cfRule>
  </conditionalFormatting>
  <conditionalFormatting sqref="H9">
    <cfRule type="cellIs" dxfId="7" priority="38" operator="equal">
      <formula>"="</formula>
    </cfRule>
  </conditionalFormatting>
  <conditionalFormatting sqref="F9:G9">
    <cfRule type="expression" dxfId="9" priority="39">
      <formula>$B$8=""</formula>
    </cfRule>
  </conditionalFormatting>
  <conditionalFormatting sqref="L18:L19 L26:L27 L34:L35 L42:L43 L50:L51 L58:L59 L66:L67 L74:L75 L82:L83 L90:L91 L98:L99 L106:L107 L114:L115 L122:L123">
    <cfRule type="expression" dxfId="10" priority="40">
      <formula>$A$126=2</formula>
    </cfRule>
  </conditionalFormatting>
  <conditionalFormatting sqref="O18:R19">
    <cfRule type="expression" dxfId="6" priority="41">
      <formula>$A$126=2</formula>
    </cfRule>
  </conditionalFormatting>
  <conditionalFormatting sqref="O26:R27">
    <cfRule type="expression" dxfId="6" priority="42">
      <formula>$A$126=2</formula>
    </cfRule>
  </conditionalFormatting>
  <conditionalFormatting sqref="O26:R27">
    <cfRule type="expression" dxfId="6" priority="43">
      <formula>$A$126=2</formula>
    </cfRule>
  </conditionalFormatting>
  <conditionalFormatting sqref="O34:X35">
    <cfRule type="expression" dxfId="0" priority="44">
      <formula>$S$18=""</formula>
    </cfRule>
  </conditionalFormatting>
  <conditionalFormatting sqref="O34:R35">
    <cfRule type="expression" dxfId="6" priority="45">
      <formula>$A$126=2</formula>
    </cfRule>
  </conditionalFormatting>
  <conditionalFormatting sqref="O42:X43">
    <cfRule type="expression" dxfId="0" priority="46">
      <formula>$S$18=""</formula>
    </cfRule>
  </conditionalFormatting>
  <conditionalFormatting sqref="O42:R43">
    <cfRule type="expression" dxfId="6" priority="47">
      <formula>$A$126=2</formula>
    </cfRule>
  </conditionalFormatting>
  <conditionalFormatting sqref="O50:X51">
    <cfRule type="expression" dxfId="0" priority="48">
      <formula>$S$18=""</formula>
    </cfRule>
  </conditionalFormatting>
  <conditionalFormatting sqref="O50:R51">
    <cfRule type="expression" dxfId="6" priority="49">
      <formula>$A$126=2</formula>
    </cfRule>
  </conditionalFormatting>
  <conditionalFormatting sqref="O58:X59">
    <cfRule type="expression" dxfId="0" priority="50">
      <formula>$S$18=""</formula>
    </cfRule>
  </conditionalFormatting>
  <conditionalFormatting sqref="O58:R59">
    <cfRule type="expression" dxfId="6" priority="51">
      <formula>$A$126=2</formula>
    </cfRule>
  </conditionalFormatting>
  <conditionalFormatting sqref="O66:X67">
    <cfRule type="expression" dxfId="0" priority="52">
      <formula>$S$18=""</formula>
    </cfRule>
  </conditionalFormatting>
  <conditionalFormatting sqref="O66:R67">
    <cfRule type="expression" dxfId="6" priority="53">
      <formula>$A$126=2</formula>
    </cfRule>
  </conditionalFormatting>
  <conditionalFormatting sqref="O74:X75">
    <cfRule type="expression" dxfId="0" priority="54">
      <formula>$S$18=""</formula>
    </cfRule>
  </conditionalFormatting>
  <conditionalFormatting sqref="O74:R75">
    <cfRule type="expression" dxfId="6" priority="55">
      <formula>$A$126=2</formula>
    </cfRule>
  </conditionalFormatting>
  <conditionalFormatting sqref="O82:X83">
    <cfRule type="expression" dxfId="0" priority="56">
      <formula>$S$18=""</formula>
    </cfRule>
  </conditionalFormatting>
  <conditionalFormatting sqref="O82:R83">
    <cfRule type="expression" dxfId="6" priority="57">
      <formula>$A$126=2</formula>
    </cfRule>
  </conditionalFormatting>
  <conditionalFormatting sqref="O90:X91">
    <cfRule type="expression" dxfId="0" priority="58">
      <formula>$S$18=""</formula>
    </cfRule>
  </conditionalFormatting>
  <conditionalFormatting sqref="O90:R91">
    <cfRule type="expression" dxfId="6" priority="59">
      <formula>$A$126=2</formula>
    </cfRule>
  </conditionalFormatting>
  <conditionalFormatting sqref="O98:X99">
    <cfRule type="expression" dxfId="0" priority="60">
      <formula>$S$18=""</formula>
    </cfRule>
  </conditionalFormatting>
  <conditionalFormatting sqref="O98:R99">
    <cfRule type="expression" dxfId="6" priority="61">
      <formula>$A$126=2</formula>
    </cfRule>
  </conditionalFormatting>
  <conditionalFormatting sqref="O106:X107">
    <cfRule type="expression" dxfId="0" priority="62">
      <formula>$S$18=""</formula>
    </cfRule>
  </conditionalFormatting>
  <conditionalFormatting sqref="O106:R107">
    <cfRule type="expression" dxfId="6" priority="63">
      <formula>$A$126=2</formula>
    </cfRule>
  </conditionalFormatting>
  <conditionalFormatting sqref="O114:X115">
    <cfRule type="expression" dxfId="0" priority="64">
      <formula>$S$18=""</formula>
    </cfRule>
  </conditionalFormatting>
  <conditionalFormatting sqref="O114:R115">
    <cfRule type="expression" dxfId="6" priority="65">
      <formula>$A$126=2</formula>
    </cfRule>
  </conditionalFormatting>
  <conditionalFormatting sqref="O122:X123">
    <cfRule type="expression" dxfId="0" priority="66">
      <formula>$S$18=""</formula>
    </cfRule>
  </conditionalFormatting>
  <conditionalFormatting sqref="O122:R123">
    <cfRule type="expression" dxfId="6" priority="67">
      <formula>$A$126=2</formula>
    </cfRule>
  </conditionalFormatting>
  <dataValidations>
    <dataValidation type="list" allowBlank="1" showErrorMessage="1" sqref="F4">
      <formula1>$AU$3:$AU$5</formula1>
    </dataValidation>
    <dataValidation type="list" allowBlank="1" showErrorMessage="1" sqref="F5">
      <formula1>$AX$3:$AX$5</formula1>
    </dataValidation>
  </dataValidations>
  <printOptions/>
  <pageMargins bottom="0.75" footer="0.0" header="0.0" left="0.7" right="0.7" top="0.75"/>
  <pageSetup orientation="portrait"/>
  <drawing r:id="rId1"/>
</worksheet>
</file>